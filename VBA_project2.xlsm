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8.xml" ContentType="application/vnd.openxmlformats-officedocument.spreadsheetml.pivotTable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Baptiste\Documents\PortfolioProject\VBA Project\Projet VBA 2\"/>
    </mc:Choice>
  </mc:AlternateContent>
  <xr:revisionPtr revIDLastSave="0" documentId="13_ncr:1_{5603E187-B6B2-4A33-A937-979094A33D7F}" xr6:coauthVersionLast="47" xr6:coauthVersionMax="47" xr10:uidLastSave="{00000000-0000-0000-0000-000000000000}"/>
  <bookViews>
    <workbookView xWindow="-110" yWindow="-110" windowWidth="19420" windowHeight="10420" firstSheet="1" activeTab="1" xr2:uid="{00000000-000D-0000-FFFF-FFFF00000000}"/>
  </bookViews>
  <sheets>
    <sheet name="Reporting" sheetId="1" r:id="rId1"/>
    <sheet name="Data" sheetId="2" r:id="rId2"/>
    <sheet name="Analyses" sheetId="4" r:id="rId3"/>
    <sheet name="Pearson" sheetId="8" r:id="rId4"/>
    <sheet name="Kieh2" sheetId="10" r:id="rId5"/>
    <sheet name="Student" sheetId="11" r:id="rId6"/>
    <sheet name="Prévision LECCE" sheetId="6" r:id="rId7"/>
    <sheet name="Prévision BRESCIA" sheetId="5" r:id="rId8"/>
    <sheet name="Feuil1" sheetId="13" r:id="rId9"/>
    <sheet name="Regression linéaire" sheetId="12" r:id="rId10"/>
    <sheet name="A faire" sheetId="7" r:id="rId11"/>
  </sheets>
  <functionGroups builtInGroupCount="19"/>
  <calcPr calcId="191029"/>
  <pivotCaches>
    <pivotCache cacheId="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41" i="12" l="1"/>
  <c r="K42" i="12"/>
  <c r="K40" i="12"/>
  <c r="R4" i="11" l="1"/>
  <c r="L4" i="11"/>
  <c r="B29" i="10"/>
  <c r="B21" i="10"/>
  <c r="C22" i="10"/>
  <c r="B22" i="10"/>
  <c r="C21" i="10"/>
  <c r="B27" i="10" s="1"/>
  <c r="B28" i="10" s="1"/>
  <c r="C23" i="10"/>
  <c r="B23" i="10"/>
  <c r="D23" i="10" s="1"/>
  <c r="O11" i="8"/>
  <c r="K204" i="2"/>
  <c r="K203" i="2"/>
  <c r="K202" i="2"/>
  <c r="K201" i="2"/>
  <c r="K200" i="2"/>
  <c r="K199" i="2"/>
  <c r="K198" i="2"/>
  <c r="K197" i="2"/>
  <c r="K196" i="2"/>
  <c r="K195" i="2"/>
  <c r="K194" i="2"/>
  <c r="K193" i="2"/>
  <c r="K192" i="2"/>
  <c r="K191" i="2"/>
  <c r="K190" i="2"/>
  <c r="K189" i="2"/>
  <c r="K188" i="2"/>
  <c r="K187" i="2"/>
  <c r="K186" i="2"/>
  <c r="K185" i="2"/>
  <c r="K184" i="2"/>
  <c r="K183" i="2"/>
  <c r="K182" i="2"/>
  <c r="K181" i="2"/>
  <c r="K180" i="2"/>
  <c r="K179" i="2"/>
  <c r="K178" i="2"/>
  <c r="K177" i="2"/>
  <c r="K176" i="2"/>
  <c r="K175" i="2"/>
  <c r="K174" i="2"/>
  <c r="K173" i="2"/>
  <c r="K172" i="2"/>
  <c r="K171" i="2"/>
  <c r="K170" i="2"/>
  <c r="K169" i="2"/>
  <c r="K168" i="2"/>
  <c r="K167" i="2"/>
  <c r="K166" i="2"/>
  <c r="K165" i="2"/>
  <c r="K164" i="2"/>
  <c r="K163" i="2"/>
  <c r="K162" i="2"/>
  <c r="K161" i="2"/>
  <c r="K160" i="2"/>
  <c r="K159" i="2"/>
  <c r="K158" i="2"/>
  <c r="K157" i="2"/>
  <c r="K156" i="2"/>
  <c r="K155" i="2"/>
  <c r="K154" i="2"/>
  <c r="K153" i="2"/>
  <c r="K152" i="2"/>
  <c r="K151" i="2"/>
  <c r="K150" i="2"/>
  <c r="K149" i="2"/>
  <c r="K148" i="2"/>
  <c r="K147" i="2"/>
  <c r="K146" i="2"/>
  <c r="K145" i="2"/>
  <c r="K144" i="2"/>
  <c r="K143" i="2"/>
  <c r="K142" i="2"/>
  <c r="K141" i="2"/>
  <c r="K140" i="2"/>
  <c r="K139" i="2"/>
  <c r="K138" i="2"/>
  <c r="K137" i="2"/>
  <c r="K136" i="2"/>
  <c r="K135" i="2"/>
  <c r="K134" i="2"/>
  <c r="K133" i="2"/>
  <c r="K132" i="2"/>
  <c r="K131" i="2"/>
  <c r="K130" i="2"/>
  <c r="K129" i="2"/>
  <c r="K128" i="2"/>
  <c r="K127" i="2"/>
  <c r="K126" i="2"/>
  <c r="K125" i="2"/>
  <c r="K124" i="2"/>
  <c r="K123" i="2"/>
  <c r="K122" i="2"/>
  <c r="K121" i="2"/>
  <c r="K120" i="2"/>
  <c r="K119" i="2"/>
  <c r="K118" i="2"/>
  <c r="K117" i="2"/>
  <c r="K116" i="2"/>
  <c r="K115" i="2"/>
  <c r="K114" i="2"/>
  <c r="K113" i="2"/>
  <c r="K112" i="2"/>
  <c r="K111" i="2"/>
  <c r="K110" i="2"/>
  <c r="K109" i="2"/>
  <c r="K108" i="2"/>
  <c r="K107" i="2"/>
  <c r="K106" i="2"/>
  <c r="K105" i="2"/>
  <c r="K104" i="2"/>
  <c r="K103" i="2"/>
  <c r="K102" i="2"/>
  <c r="K101" i="2"/>
  <c r="K100" i="2"/>
  <c r="K99" i="2"/>
  <c r="K98" i="2"/>
  <c r="K97" i="2"/>
  <c r="K96" i="2"/>
  <c r="K95" i="2"/>
  <c r="K94" i="2"/>
  <c r="K93" i="2"/>
  <c r="K92" i="2"/>
  <c r="K91" i="2"/>
  <c r="K90" i="2"/>
  <c r="K89" i="2"/>
  <c r="K88" i="2"/>
  <c r="K87" i="2"/>
  <c r="K86" i="2"/>
  <c r="K85" i="2"/>
  <c r="K84" i="2"/>
  <c r="K83" i="2"/>
  <c r="K82" i="2"/>
  <c r="K81" i="2"/>
  <c r="K80" i="2"/>
  <c r="K79" i="2"/>
  <c r="K78" i="2"/>
  <c r="K77" i="2"/>
  <c r="K76" i="2"/>
  <c r="K75" i="2"/>
  <c r="K74" i="2"/>
  <c r="K73" i="2"/>
  <c r="K72" i="2"/>
  <c r="K71" i="2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  <c r="C7" i="6"/>
  <c r="C8" i="6"/>
  <c r="C9" i="6"/>
  <c r="C10" i="6"/>
  <c r="C8" i="5"/>
  <c r="C7" i="5"/>
  <c r="D7" i="5"/>
  <c r="E7" i="5"/>
  <c r="E8" i="5"/>
  <c r="D8" i="5"/>
  <c r="D10" i="6"/>
  <c r="D8" i="6"/>
  <c r="E10" i="6"/>
  <c r="E8" i="6"/>
  <c r="D9" i="6"/>
  <c r="D7" i="6"/>
  <c r="E9" i="6"/>
  <c r="E7" i="6"/>
</calcChain>
</file>

<file path=xl/sharedStrings.xml><?xml version="1.0" encoding="utf-8"?>
<sst xmlns="http://schemas.openxmlformats.org/spreadsheetml/2006/main" count="1369" uniqueCount="149">
  <si>
    <t>CANNELLONI</t>
  </si>
  <si>
    <t>BRE</t>
  </si>
  <si>
    <t>BRESCIA</t>
  </si>
  <si>
    <t>CAPELLINI</t>
  </si>
  <si>
    <t>CASTELLAN</t>
  </si>
  <si>
    <t>CELLENTANI</t>
  </si>
  <si>
    <t>COQUILETTE</t>
  </si>
  <si>
    <t>FARFALLE</t>
  </si>
  <si>
    <t>FARFALLIN</t>
  </si>
  <si>
    <t>FUSILLI</t>
  </si>
  <si>
    <t>GARGANELLI</t>
  </si>
  <si>
    <t>GIRANDOL</t>
  </si>
  <si>
    <t>GNOCCHI</t>
  </si>
  <si>
    <t>GNOCHETTI</t>
  </si>
  <si>
    <t>LASAGNE</t>
  </si>
  <si>
    <t>LINGUIN</t>
  </si>
  <si>
    <t>MACARONI</t>
  </si>
  <si>
    <t>MINI FARFAL</t>
  </si>
  <si>
    <t>MINI PIPE RIGATE</t>
  </si>
  <si>
    <t>PEN RIGAT PICCO</t>
  </si>
  <si>
    <t>PENNE RIGATE</t>
  </si>
  <si>
    <t>PIPERIGAT</t>
  </si>
  <si>
    <t>SPAGHETTI</t>
  </si>
  <si>
    <t>SPAGHETTONI</t>
  </si>
  <si>
    <t>SPAGHETTINI</t>
  </si>
  <si>
    <t>TAGLIATELLE</t>
  </si>
  <si>
    <t>TORSADES</t>
  </si>
  <si>
    <t>TORTIGLIONI</t>
  </si>
  <si>
    <t>TROFIE</t>
  </si>
  <si>
    <t>VERMICELLE</t>
  </si>
  <si>
    <t>C:\Users\Baptiste\Documents\PortfolioProject\VBA Project\Projet VBA 2\datas\BRESCIA - 02 - Fevrier 2022.xlsx</t>
  </si>
  <si>
    <t>C:\Users\Baptiste\Documents\PortfolioProject\VBA Project\Projet VBA 2\datas\BRESCIA - 03 - Mars 2022.xlsx</t>
  </si>
  <si>
    <t>C:\Users\Baptiste\Documents\PortfolioProject\VBA Project\Projet VBA 2\datas\BRESCIA - 04 - Avril 2022.xlsx</t>
  </si>
  <si>
    <t>C:\Users\Baptiste\Documents\PortfolioProject\VBA Project\Projet VBA 2\datas\BRESCIA - 05 - Mai 2022.xlsx</t>
  </si>
  <si>
    <t>C:\Users\Baptiste\Documents\PortfolioProject\VBA Project\Projet VBA 2\datas\BRESCIA - 06 - Juin 2022.xlsx</t>
  </si>
  <si>
    <t>C:\Users\Baptiste\Documents\PortfolioProject\VBA Project\Projet VBA 2\datas\LECCE - 01 - Janvier 2022.xlsx</t>
  </si>
  <si>
    <t>C:\Users\Baptiste\Documents\PortfolioProject\VBA Project\Projet VBA 2\datas\LECCE - 02 - Fevrier 2022.xlsx</t>
  </si>
  <si>
    <t>C:\Users\Baptiste\Documents\PortfolioProject\VBA Project\Projet VBA 2\datas\LECCE - 03 - Mars 2022.xlsx</t>
  </si>
  <si>
    <t>C:\Users\Baptiste\Documents\PortfolioProject\VBA Project\Projet VBA 2\datas\LECCE - 04 - Avril 2022.xlsx</t>
  </si>
  <si>
    <t>C:\Users\Baptiste\Documents\PortfolioProject\VBA Project\Projet VBA 2\datas\LECCE - 05 - Mai 2022.xlsx</t>
  </si>
  <si>
    <t>C:\Users\Baptiste\Documents\PortfolioProject\VBA Project\Projet VBA 2\datas\LECCE- 06 - Juin 2022.xlsx</t>
  </si>
  <si>
    <t>GLUTEN FREE</t>
  </si>
  <si>
    <t>BIO</t>
  </si>
  <si>
    <t>Fichier OK</t>
  </si>
  <si>
    <t>LECCE</t>
  </si>
  <si>
    <t>Quand faire le reporting</t>
  </si>
  <si>
    <t>Jour</t>
  </si>
  <si>
    <t>Statut reporting</t>
  </si>
  <si>
    <t>Etat</t>
  </si>
  <si>
    <t>Date</t>
  </si>
  <si>
    <t>lundi</t>
  </si>
  <si>
    <t>mardi</t>
  </si>
  <si>
    <t>mercredi</t>
  </si>
  <si>
    <t>jeudi</t>
  </si>
  <si>
    <t>vendredi</t>
  </si>
  <si>
    <t>samedi</t>
  </si>
  <si>
    <t>dimanche</t>
  </si>
  <si>
    <t>non</t>
  </si>
  <si>
    <t>oui</t>
  </si>
  <si>
    <t>Analyse</t>
  </si>
  <si>
    <t>Prix de vente</t>
  </si>
  <si>
    <t>TVA</t>
  </si>
  <si>
    <t>Quantités</t>
  </si>
  <si>
    <t>Poids</t>
  </si>
  <si>
    <t>CA</t>
  </si>
  <si>
    <t>Analyse des variables qualitatives</t>
  </si>
  <si>
    <t>Analyse des variables quantitatives</t>
  </si>
  <si>
    <t>Minimum</t>
  </si>
  <si>
    <t>Maximum</t>
  </si>
  <si>
    <t>Moyenne</t>
  </si>
  <si>
    <t>Nombre de vide</t>
  </si>
  <si>
    <t>Valeur unique</t>
  </si>
  <si>
    <t>Nombre Vide</t>
  </si>
  <si>
    <t>Référence</t>
  </si>
  <si>
    <t>Glutenfree</t>
  </si>
  <si>
    <t>Bio</t>
  </si>
  <si>
    <t>Code marque</t>
  </si>
  <si>
    <t>Fournisseur</t>
  </si>
  <si>
    <t>Désignation</t>
  </si>
  <si>
    <t>Code Marque</t>
  </si>
  <si>
    <t>Quantités mois</t>
  </si>
  <si>
    <t>Somme de CA</t>
  </si>
  <si>
    <t>Étiquettes de lignes</t>
  </si>
  <si>
    <t>(vide)</t>
  </si>
  <si>
    <t>Total général</t>
  </si>
  <si>
    <t>&lt;01/01/2022</t>
  </si>
  <si>
    <t>janv</t>
  </si>
  <si>
    <t>févr</t>
  </si>
  <si>
    <t>mars</t>
  </si>
  <si>
    <t>avr</t>
  </si>
  <si>
    <t>mai</t>
  </si>
  <si>
    <t>juin</t>
  </si>
  <si>
    <t>CA par Mois</t>
  </si>
  <si>
    <t>Étiquettes de colonnes</t>
  </si>
  <si>
    <t>CA par Mois pour GlutenFree</t>
  </si>
  <si>
    <t>CA par Mois pour Bio</t>
  </si>
  <si>
    <t>CA par Mois pour les Marques</t>
  </si>
  <si>
    <t>Prévision(BRE)</t>
  </si>
  <si>
    <t>Limite de confiance inférieure(BRE)</t>
  </si>
  <si>
    <t>Limite de confiance supérieure(BRE)</t>
  </si>
  <si>
    <t>Prévision(LECCE)</t>
  </si>
  <si>
    <t>Limite de confiance inférieure(LECCE)</t>
  </si>
  <si>
    <t>Limite de confiance supérieure(LECCE)</t>
  </si>
  <si>
    <t>(Tous)</t>
  </si>
  <si>
    <t>Somme de Prix de vente</t>
  </si>
  <si>
    <t>Moyenne de Prix de vente</t>
  </si>
  <si>
    <t>Somme de Quantités mois</t>
  </si>
  <si>
    <t>Test Perseon</t>
  </si>
  <si>
    <t>Nombre de Référence</t>
  </si>
  <si>
    <t>Calcul des références théoriques</t>
  </si>
  <si>
    <t>surface à droite(p-value)</t>
  </si>
  <si>
    <t>valeur du kieh2</t>
  </si>
  <si>
    <t>seuil critique 5%</t>
  </si>
  <si>
    <t>LECEE</t>
  </si>
  <si>
    <t>Test de Fisher</t>
  </si>
  <si>
    <t>Test de Student</t>
  </si>
  <si>
    <t>RAPPORT DÉTAILLÉ</t>
  </si>
  <si>
    <t>Statistiques de la régression</t>
  </si>
  <si>
    <t>Coefficient de détermination multiple</t>
  </si>
  <si>
    <t>Coefficient de détermination R^2</t>
  </si>
  <si>
    <t>Erreur-type</t>
  </si>
  <si>
    <t>Observations</t>
  </si>
  <si>
    <t>ANALYSE DE VARIANCE</t>
  </si>
  <si>
    <t>Régression</t>
  </si>
  <si>
    <t>Résidus</t>
  </si>
  <si>
    <t>Total</t>
  </si>
  <si>
    <t>Constante</t>
  </si>
  <si>
    <t>Degré de liberté</t>
  </si>
  <si>
    <t>Somme des carrés</t>
  </si>
  <si>
    <t>Moyenne des carrés</t>
  </si>
  <si>
    <t>F</t>
  </si>
  <si>
    <t>Valeur critique de F</t>
  </si>
  <si>
    <t>Coefficients</t>
  </si>
  <si>
    <t>Statistique t</t>
  </si>
  <si>
    <t>Probabilité</t>
  </si>
  <si>
    <t>Limite inférieure pour seuil de confiance = 95%</t>
  </si>
  <si>
    <t>Limite supérieure pour seuil de confiance = 95%</t>
  </si>
  <si>
    <t>Limite inférieure pour seuil de confiance =  95,0%</t>
  </si>
  <si>
    <t>Limite supérieure pour seuil de confiance =  95,0%</t>
  </si>
  <si>
    <t>Variable X 1</t>
  </si>
  <si>
    <t>ANALYSE DES RÉSIDUS</t>
  </si>
  <si>
    <t>Observation</t>
  </si>
  <si>
    <t>Prévisions pour Y</t>
  </si>
  <si>
    <t>Résidus normalisés</t>
  </si>
  <si>
    <t>RÉPARTITION DES PROBABILITÉS</t>
  </si>
  <si>
    <t>Centile</t>
  </si>
  <si>
    <t>Y</t>
  </si>
  <si>
    <t>PRIX</t>
  </si>
  <si>
    <t>Qnt Vendu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</si>
</sst>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_-* #,##0.00\ [$€-40C]_-;\-* #,##0.00\ [$€-40C]_-;_-* &quot;-&quot;??\ [$€-40C]_-;_-@_-"/>
    <numFmt numFmtId="166" formatCode="0;[Red]0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theme="5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theme="4" tint="-0.249977111117893"/>
      </left>
      <right/>
      <top style="thin">
        <color theme="4" tint="-0.249977111117893"/>
      </top>
      <bottom/>
      <diagonal/>
    </border>
    <border>
      <left/>
      <right/>
      <top style="thin">
        <color theme="4" tint="-0.249977111117893"/>
      </top>
      <bottom/>
      <diagonal/>
    </border>
    <border>
      <left/>
      <right style="thin">
        <color theme="4" tint="-0.249977111117893"/>
      </right>
      <top style="thin">
        <color theme="4" tint="-0.249977111117893"/>
      </top>
      <bottom/>
      <diagonal/>
    </border>
    <border>
      <left style="thin">
        <color theme="4" tint="-0.249977111117893"/>
      </left>
      <right/>
      <top/>
      <bottom/>
      <diagonal/>
    </border>
    <border>
      <left/>
      <right style="thin">
        <color theme="4" tint="-0.249977111117893"/>
      </right>
      <top/>
      <bottom/>
      <diagonal/>
    </border>
    <border>
      <left style="thin">
        <color theme="4" tint="-0.249977111117893"/>
      </left>
      <right/>
      <top/>
      <bottom style="thin">
        <color theme="4" tint="-0.249977111117893"/>
      </bottom>
      <diagonal/>
    </border>
    <border>
      <left/>
      <right/>
      <top/>
      <bottom style="thin">
        <color theme="4" tint="-0.249977111117893"/>
      </bottom>
      <diagonal/>
    </border>
    <border>
      <left/>
      <right style="thin">
        <color theme="4" tint="-0.249977111117893"/>
      </right>
      <top/>
      <bottom style="thin">
        <color theme="4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3" fontId="0" fillId="0" borderId="0" xfId="0" applyNumberFormat="1"/>
    <xf numFmtId="14" fontId="0" fillId="0" borderId="4" xfId="0" applyNumberFormat="1" applyBorder="1"/>
    <xf numFmtId="0" fontId="0" fillId="0" borderId="5" xfId="0" applyBorder="1"/>
    <xf numFmtId="14" fontId="0" fillId="0" borderId="6" xfId="0" applyNumberFormat="1" applyBorder="1"/>
    <xf numFmtId="0" fontId="0" fillId="0" borderId="7" xfId="0" applyBorder="1"/>
    <xf numFmtId="0" fontId="0" fillId="0" borderId="8" xfId="0" applyBorder="1"/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14" fontId="0" fillId="0" borderId="0" xfId="0" applyNumberFormat="1"/>
    <xf numFmtId="165" fontId="0" fillId="0" borderId="0" xfId="0" applyNumberFormat="1"/>
    <xf numFmtId="10" fontId="0" fillId="0" borderId="0" xfId="0" applyNumberFormat="1" applyAlignment="1">
      <alignment horizontal="center"/>
    </xf>
    <xf numFmtId="10" fontId="0" fillId="0" borderId="0" xfId="0" applyNumberForma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1" xfId="0" pivotButton="1" applyBorder="1"/>
    <xf numFmtId="0" fontId="0" fillId="0" borderId="11" xfId="0" applyBorder="1"/>
    <xf numFmtId="0" fontId="0" fillId="0" borderId="12" xfId="0" applyBorder="1"/>
    <xf numFmtId="0" fontId="0" fillId="0" borderId="10" xfId="0" applyBorder="1"/>
    <xf numFmtId="0" fontId="0" fillId="0" borderId="9" xfId="0" pivotButton="1" applyBorder="1"/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9" xfId="0" applyBorder="1"/>
    <xf numFmtId="0" fontId="0" fillId="0" borderId="18" xfId="0" pivotButton="1" applyBorder="1"/>
    <xf numFmtId="0" fontId="0" fillId="0" borderId="19" xfId="0" applyBorder="1"/>
    <xf numFmtId="0" fontId="0" fillId="0" borderId="20" xfId="0" applyBorder="1"/>
    <xf numFmtId="0" fontId="0" fillId="0" borderId="19" xfId="0" pivotButton="1" applyBorder="1"/>
    <xf numFmtId="14" fontId="0" fillId="0" borderId="13" xfId="0" applyNumberFormat="1" applyBorder="1" applyAlignment="1">
      <alignment horizontal="left"/>
    </xf>
    <xf numFmtId="0" fontId="0" fillId="0" borderId="18" xfId="0" applyBorder="1"/>
    <xf numFmtId="0" fontId="0" fillId="0" borderId="15" xfId="0" pivotButton="1" applyBorder="1"/>
    <xf numFmtId="14" fontId="0" fillId="0" borderId="15" xfId="0" applyNumberFormat="1" applyBorder="1" applyAlignment="1">
      <alignment horizontal="left"/>
    </xf>
    <xf numFmtId="0" fontId="4" fillId="6" borderId="24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2" fillId="5" borderId="0" xfId="0" applyFont="1" applyFill="1"/>
    <xf numFmtId="0" fontId="4" fillId="6" borderId="0" xfId="0" applyFont="1" applyFill="1"/>
    <xf numFmtId="0" fontId="4" fillId="6" borderId="25" xfId="0" applyFont="1" applyFill="1" applyBorder="1" applyAlignment="1">
      <alignment horizontal="left"/>
    </xf>
    <xf numFmtId="0" fontId="4" fillId="6" borderId="25" xfId="0" applyFont="1" applyFill="1" applyBorder="1"/>
    <xf numFmtId="0" fontId="4" fillId="7" borderId="0" xfId="0" applyFont="1" applyFill="1"/>
    <xf numFmtId="0" fontId="4" fillId="7" borderId="24" xfId="0" applyFont="1" applyFill="1" applyBorder="1"/>
    <xf numFmtId="0" fontId="4" fillId="7" borderId="25" xfId="0" applyFont="1" applyFill="1" applyBorder="1" applyAlignment="1">
      <alignment horizontal="left"/>
    </xf>
    <xf numFmtId="0" fontId="0" fillId="8" borderId="0" xfId="0" applyFill="1"/>
    <xf numFmtId="10" fontId="4" fillId="7" borderId="25" xfId="0" applyNumberFormat="1" applyFont="1" applyFill="1" applyBorder="1"/>
    <xf numFmtId="166" fontId="0" fillId="0" borderId="0" xfId="0" applyNumberFormat="1"/>
    <xf numFmtId="0" fontId="0" fillId="0" borderId="0" xfId="0" applyAlignment="1">
      <alignment horizontal="center" vertical="center"/>
    </xf>
    <xf numFmtId="0" fontId="4" fillId="6" borderId="24" xfId="0" applyFont="1" applyFill="1" applyBorder="1" applyAlignment="1">
      <alignment horizontal="center" vertical="center"/>
    </xf>
    <xf numFmtId="0" fontId="0" fillId="2" borderId="0" xfId="0" applyFill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2" fillId="4" borderId="0" xfId="0" applyFont="1" applyFill="1" applyAlignment="1">
      <alignment horizontal="center" vertical="center"/>
    </xf>
    <xf numFmtId="0" fontId="2" fillId="5" borderId="18" xfId="0" applyFont="1" applyFill="1" applyBorder="1" applyAlignment="1">
      <alignment horizontal="center"/>
    </xf>
    <xf numFmtId="0" fontId="2" fillId="5" borderId="19" xfId="0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0" borderId="0" xfId="0" applyNumberFormat="1"/>
    <xf numFmtId="0" fontId="0" fillId="2" borderId="0" xfId="0" applyFill="1" applyAlignment="1">
      <alignment horizontal="center"/>
    </xf>
    <xf numFmtId="0" fontId="0" fillId="0" borderId="0" xfId="0" applyFill="1" applyBorder="1" applyAlignment="1"/>
    <xf numFmtId="0" fontId="0" fillId="0" borderId="16" xfId="0" applyFill="1" applyBorder="1" applyAlignment="1"/>
    <xf numFmtId="0" fontId="5" fillId="0" borderId="26" xfId="0" applyFont="1" applyFill="1" applyBorder="1" applyAlignment="1">
      <alignment horizontal="center"/>
    </xf>
    <xf numFmtId="0" fontId="5" fillId="0" borderId="26" xfId="0" applyFont="1" applyFill="1" applyBorder="1" applyAlignment="1">
      <alignment horizontal="centerContinuous"/>
    </xf>
    <xf numFmtId="0" fontId="0" fillId="8" borderId="10" xfId="0" applyFill="1" applyBorder="1"/>
    <xf numFmtId="0" fontId="0" fillId="8" borderId="12" xfId="0" applyFill="1" applyBorder="1"/>
  </cellXfs>
  <cellStyles count="1">
    <cellStyle name="Normal" xfId="0" builtinId="0"/>
  </cellStyles>
  <dxfs count="67">
    <dxf>
      <numFmt numFmtId="2" formatCode="0.00"/>
    </dxf>
    <dxf>
      <numFmt numFmtId="2" formatCode="0.00"/>
    </dxf>
    <dxf>
      <numFmt numFmtId="19" formatCode="dd/mm/yyyy"/>
    </dxf>
    <dxf>
      <numFmt numFmtId="2" formatCode="0.00"/>
    </dxf>
    <dxf>
      <numFmt numFmtId="2" formatCode="0.00"/>
    </dxf>
    <dxf>
      <numFmt numFmtId="19" formatCode="dd/mm/yyyy"/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left style="medium">
          <color indexed="64"/>
        </lef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[VBA_project2.xlsm]Analyses!Tableau croisé dynamique1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Analyses!$B$3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Analyses!$A$4:$A$11</c:f>
              <c:strCache>
                <c:ptCount val="7"/>
                <c:pt idx="0">
                  <c:v>&lt;01/01/2022</c:v>
                </c:pt>
                <c:pt idx="1">
                  <c:v>janv</c:v>
                </c:pt>
                <c:pt idx="2">
                  <c:v>févr</c:v>
                </c:pt>
                <c:pt idx="3">
                  <c:v>mars</c:v>
                </c:pt>
                <c:pt idx="4">
                  <c:v>avr</c:v>
                </c:pt>
                <c:pt idx="5">
                  <c:v>mai</c:v>
                </c:pt>
                <c:pt idx="6">
                  <c:v>juin</c:v>
                </c:pt>
              </c:strCache>
            </c:strRef>
          </c:cat>
          <c:val>
            <c:numRef>
              <c:f>Analyses!$B$4:$B$11</c:f>
              <c:numCache>
                <c:formatCode>General</c:formatCode>
                <c:ptCount val="7"/>
                <c:pt idx="1">
                  <c:v>10934.090000000002</c:v>
                </c:pt>
                <c:pt idx="2">
                  <c:v>89290.930000000037</c:v>
                </c:pt>
                <c:pt idx="3">
                  <c:v>97470.600000000035</c:v>
                </c:pt>
                <c:pt idx="4">
                  <c:v>91942.160000000018</c:v>
                </c:pt>
                <c:pt idx="5">
                  <c:v>106281.9</c:v>
                </c:pt>
                <c:pt idx="6">
                  <c:v>86792.099999999977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F1-4A6A-9BDD-CF587BA5E4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2653376"/>
        <c:axId val="1587428128"/>
      </c:lineChart>
      <c:catAx>
        <c:axId val="1552653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7428128"/>
        <c:crosses val="autoZero"/>
        <c:auto val="1"/>
        <c:lblAlgn val="ctr"/>
        <c:lblOffset val="100"/>
        <c:noMultiLvlLbl val="0"/>
      </c:catAx>
      <c:valAx>
        <c:axId val="158742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52653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[VBA_project2.xlsm]Analyses!Tableau croisé dynamique2</c:name>
    <c:fmtId val="7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Analyses!$B$17:$B$18</c:f>
              <c:strCache>
                <c:ptCount val="1"/>
                <c:pt idx="0">
                  <c:v>BIO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Analyses!$A$19:$A$26</c:f>
              <c:strCache>
                <c:ptCount val="7"/>
                <c:pt idx="0">
                  <c:v>&lt;01/01/2022</c:v>
                </c:pt>
                <c:pt idx="1">
                  <c:v>janv</c:v>
                </c:pt>
                <c:pt idx="2">
                  <c:v>févr</c:v>
                </c:pt>
                <c:pt idx="3">
                  <c:v>mars</c:v>
                </c:pt>
                <c:pt idx="4">
                  <c:v>avr</c:v>
                </c:pt>
                <c:pt idx="5">
                  <c:v>mai</c:v>
                </c:pt>
                <c:pt idx="6">
                  <c:v>juin</c:v>
                </c:pt>
              </c:strCache>
            </c:strRef>
          </c:cat>
          <c:val>
            <c:numRef>
              <c:f>Analyses!$B$19:$B$26</c:f>
              <c:numCache>
                <c:formatCode>General</c:formatCode>
                <c:ptCount val="7"/>
                <c:pt idx="1">
                  <c:v>10934.090000000002</c:v>
                </c:pt>
                <c:pt idx="2">
                  <c:v>18963.340000000004</c:v>
                </c:pt>
                <c:pt idx="3">
                  <c:v>17507.95</c:v>
                </c:pt>
                <c:pt idx="4">
                  <c:v>19858.849999999999</c:v>
                </c:pt>
                <c:pt idx="5">
                  <c:v>18014.050000000003</c:v>
                </c:pt>
                <c:pt idx="6">
                  <c:v>18943.02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D8-4064-B6CE-1551DA9A1D8F}"/>
            </c:ext>
          </c:extLst>
        </c:ser>
        <c:ser>
          <c:idx val="1"/>
          <c:order val="1"/>
          <c:tx>
            <c:strRef>
              <c:f>Analyses!$C$17:$C$18</c:f>
              <c:strCache>
                <c:ptCount val="1"/>
                <c:pt idx="0">
                  <c:v>(vide)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Analyses!$A$19:$A$26</c:f>
              <c:strCache>
                <c:ptCount val="7"/>
                <c:pt idx="0">
                  <c:v>&lt;01/01/2022</c:v>
                </c:pt>
                <c:pt idx="1">
                  <c:v>janv</c:v>
                </c:pt>
                <c:pt idx="2">
                  <c:v>févr</c:v>
                </c:pt>
                <c:pt idx="3">
                  <c:v>mars</c:v>
                </c:pt>
                <c:pt idx="4">
                  <c:v>avr</c:v>
                </c:pt>
                <c:pt idx="5">
                  <c:v>mai</c:v>
                </c:pt>
                <c:pt idx="6">
                  <c:v>juin</c:v>
                </c:pt>
              </c:strCache>
            </c:strRef>
          </c:cat>
          <c:val>
            <c:numRef>
              <c:f>Analyses!$C$19:$C$26</c:f>
              <c:numCache>
                <c:formatCode>General</c:formatCode>
                <c:ptCount val="7"/>
                <c:pt idx="2">
                  <c:v>70327.590000000011</c:v>
                </c:pt>
                <c:pt idx="3">
                  <c:v>79962.650000000009</c:v>
                </c:pt>
                <c:pt idx="4">
                  <c:v>72083.31</c:v>
                </c:pt>
                <c:pt idx="5">
                  <c:v>88267.849999999991</c:v>
                </c:pt>
                <c:pt idx="6">
                  <c:v>67849.079999999987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FD8-4064-B6CE-1551DA9A1D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6712688"/>
        <c:axId val="1586723248"/>
      </c:barChart>
      <c:catAx>
        <c:axId val="158671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6723248"/>
        <c:crosses val="autoZero"/>
        <c:auto val="1"/>
        <c:lblAlgn val="ctr"/>
        <c:lblOffset val="100"/>
        <c:noMultiLvlLbl val="0"/>
      </c:catAx>
      <c:valAx>
        <c:axId val="158672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671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[VBA_project2.xlsm]Analyses!Tableau croisé dynamique2</c:name>
    <c:fmtId val="1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Analyses!$B$17:$B$18</c:f>
              <c:strCache>
                <c:ptCount val="1"/>
                <c:pt idx="0">
                  <c:v>BIO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Analyses!$A$19:$A$26</c:f>
              <c:strCache>
                <c:ptCount val="7"/>
                <c:pt idx="0">
                  <c:v>&lt;01/01/2022</c:v>
                </c:pt>
                <c:pt idx="1">
                  <c:v>janv</c:v>
                </c:pt>
                <c:pt idx="2">
                  <c:v>févr</c:v>
                </c:pt>
                <c:pt idx="3">
                  <c:v>mars</c:v>
                </c:pt>
                <c:pt idx="4">
                  <c:v>avr</c:v>
                </c:pt>
                <c:pt idx="5">
                  <c:v>mai</c:v>
                </c:pt>
                <c:pt idx="6">
                  <c:v>juin</c:v>
                </c:pt>
              </c:strCache>
            </c:strRef>
          </c:cat>
          <c:val>
            <c:numRef>
              <c:f>Analyses!$B$19:$B$26</c:f>
              <c:numCache>
                <c:formatCode>General</c:formatCode>
                <c:ptCount val="7"/>
                <c:pt idx="1">
                  <c:v>10934.090000000002</c:v>
                </c:pt>
                <c:pt idx="2">
                  <c:v>18963.340000000004</c:v>
                </c:pt>
                <c:pt idx="3">
                  <c:v>17507.95</c:v>
                </c:pt>
                <c:pt idx="4">
                  <c:v>19858.849999999999</c:v>
                </c:pt>
                <c:pt idx="5">
                  <c:v>18014.050000000003</c:v>
                </c:pt>
                <c:pt idx="6">
                  <c:v>18943.02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53-4CD2-9E65-A337DFC7AB4E}"/>
            </c:ext>
          </c:extLst>
        </c:ser>
        <c:ser>
          <c:idx val="1"/>
          <c:order val="1"/>
          <c:tx>
            <c:strRef>
              <c:f>Analyses!$C$17:$C$18</c:f>
              <c:strCache>
                <c:ptCount val="1"/>
                <c:pt idx="0">
                  <c:v>(vide)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Analyses!$A$19:$A$26</c:f>
              <c:strCache>
                <c:ptCount val="7"/>
                <c:pt idx="0">
                  <c:v>&lt;01/01/2022</c:v>
                </c:pt>
                <c:pt idx="1">
                  <c:v>janv</c:v>
                </c:pt>
                <c:pt idx="2">
                  <c:v>févr</c:v>
                </c:pt>
                <c:pt idx="3">
                  <c:v>mars</c:v>
                </c:pt>
                <c:pt idx="4">
                  <c:v>avr</c:v>
                </c:pt>
                <c:pt idx="5">
                  <c:v>mai</c:v>
                </c:pt>
                <c:pt idx="6">
                  <c:v>juin</c:v>
                </c:pt>
              </c:strCache>
            </c:strRef>
          </c:cat>
          <c:val>
            <c:numRef>
              <c:f>Analyses!$C$19:$C$26</c:f>
              <c:numCache>
                <c:formatCode>General</c:formatCode>
                <c:ptCount val="7"/>
                <c:pt idx="2">
                  <c:v>70327.590000000011</c:v>
                </c:pt>
                <c:pt idx="3">
                  <c:v>79962.650000000009</c:v>
                </c:pt>
                <c:pt idx="4">
                  <c:v>72083.31</c:v>
                </c:pt>
                <c:pt idx="5">
                  <c:v>88267.849999999991</c:v>
                </c:pt>
                <c:pt idx="6">
                  <c:v>67849.079999999987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B53-4CD2-9E65-A337DFC7AB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86712688"/>
        <c:axId val="1586723248"/>
      </c:barChart>
      <c:catAx>
        <c:axId val="158671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6723248"/>
        <c:crosses val="autoZero"/>
        <c:auto val="1"/>
        <c:lblAlgn val="ctr"/>
        <c:lblOffset val="100"/>
        <c:noMultiLvlLbl val="0"/>
      </c:catAx>
      <c:valAx>
        <c:axId val="158672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6712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[VBA_project2.xlsm]Analyses!Tableau croisé dynamique4</c:name>
    <c:fmtId val="14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Analyses!$B$45:$B$46</c:f>
              <c:strCache>
                <c:ptCount val="1"/>
                <c:pt idx="0">
                  <c:v>BRE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Analyses!$A$47:$A$52</c:f>
              <c:strCache>
                <c:ptCount val="5"/>
                <c:pt idx="0">
                  <c:v>01/02/2022</c:v>
                </c:pt>
                <c:pt idx="1">
                  <c:v>01/03/2022</c:v>
                </c:pt>
                <c:pt idx="2">
                  <c:v>01/04/2022</c:v>
                </c:pt>
                <c:pt idx="3">
                  <c:v>01/05/2022</c:v>
                </c:pt>
                <c:pt idx="4">
                  <c:v>01/06/2022</c:v>
                </c:pt>
              </c:strCache>
            </c:strRef>
          </c:cat>
          <c:val>
            <c:numRef>
              <c:f>Analyses!$B$47:$B$52</c:f>
              <c:numCache>
                <c:formatCode>General</c:formatCode>
                <c:ptCount val="5"/>
                <c:pt idx="0">
                  <c:v>78080.390000000014</c:v>
                </c:pt>
                <c:pt idx="1">
                  <c:v>86133.830000000016</c:v>
                </c:pt>
                <c:pt idx="2">
                  <c:v>76641.480000000025</c:v>
                </c:pt>
                <c:pt idx="3">
                  <c:v>90699.699999999983</c:v>
                </c:pt>
                <c:pt idx="4">
                  <c:v>69324.179999999993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7C-4B56-B271-676302C0124E}"/>
            </c:ext>
          </c:extLst>
        </c:ser>
        <c:ser>
          <c:idx val="1"/>
          <c:order val="1"/>
          <c:tx>
            <c:strRef>
              <c:f>Analyses!$C$45:$C$46</c:f>
              <c:strCache>
                <c:ptCount val="1"/>
                <c:pt idx="0">
                  <c:v>LECCE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Analyses!$A$47:$A$52</c:f>
              <c:strCache>
                <c:ptCount val="5"/>
                <c:pt idx="0">
                  <c:v>01/02/2022</c:v>
                </c:pt>
                <c:pt idx="1">
                  <c:v>01/03/2022</c:v>
                </c:pt>
                <c:pt idx="2">
                  <c:v>01/04/2022</c:v>
                </c:pt>
                <c:pt idx="3">
                  <c:v>01/05/2022</c:v>
                </c:pt>
                <c:pt idx="4">
                  <c:v>01/06/2022</c:v>
                </c:pt>
              </c:strCache>
            </c:strRef>
          </c:cat>
          <c:val>
            <c:numRef>
              <c:f>Analyses!$C$47:$C$52</c:f>
              <c:numCache>
                <c:formatCode>General</c:formatCode>
                <c:ptCount val="5"/>
                <c:pt idx="0">
                  <c:v>11210.539999999999</c:v>
                </c:pt>
                <c:pt idx="1">
                  <c:v>11336.77</c:v>
                </c:pt>
                <c:pt idx="2">
                  <c:v>15300.68</c:v>
                </c:pt>
                <c:pt idx="3">
                  <c:v>15582.199999999999</c:v>
                </c:pt>
                <c:pt idx="4">
                  <c:v>17467.920000000002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7C-4B56-B271-676302C01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7526192"/>
        <c:axId val="1587525712"/>
      </c:lineChart>
      <c:catAx>
        <c:axId val="158752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7525712"/>
        <c:crosses val="autoZero"/>
        <c:auto val="1"/>
        <c:lblAlgn val="ctr"/>
        <c:lblOffset val="100"/>
        <c:noMultiLvlLbl val="0"/>
      </c:catAx>
      <c:valAx>
        <c:axId val="158752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752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Test</a:t>
            </a:r>
            <a:r>
              <a:rPr lang="fr-FR" baseline="0"/>
              <a:t> de Pearson</a:t>
            </a:r>
            <a:endParaRPr lang="fr-FR"/>
          </a:p>
        </c:rich>
      </c:tx>
      <c:layout>
        <c:manualLayout>
          <c:xMode val="edge"/>
          <c:yMode val="edge"/>
          <c:x val="0.3570623359580052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0580314960629922"/>
          <c:y val="0.17171296296296298"/>
          <c:w val="0.86174540682414702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Pearson!$E$7:$E$57</c:f>
              <c:numCache>
                <c:formatCode>General</c:formatCode>
                <c:ptCount val="51"/>
                <c:pt idx="0">
                  <c:v>1.84</c:v>
                </c:pt>
                <c:pt idx="1">
                  <c:v>1.95</c:v>
                </c:pt>
                <c:pt idx="2">
                  <c:v>1.48</c:v>
                </c:pt>
                <c:pt idx="3">
                  <c:v>1.99</c:v>
                </c:pt>
                <c:pt idx="4">
                  <c:v>1.27</c:v>
                </c:pt>
                <c:pt idx="5">
                  <c:v>1.61</c:v>
                </c:pt>
                <c:pt idx="6">
                  <c:v>1.43</c:v>
                </c:pt>
                <c:pt idx="7">
                  <c:v>1.64</c:v>
                </c:pt>
                <c:pt idx="8">
                  <c:v>1.1100000000000001</c:v>
                </c:pt>
                <c:pt idx="9">
                  <c:v>1.88</c:v>
                </c:pt>
                <c:pt idx="10">
                  <c:v>1.1399999999999999</c:v>
                </c:pt>
                <c:pt idx="11">
                  <c:v>1.6</c:v>
                </c:pt>
                <c:pt idx="12">
                  <c:v>1.5</c:v>
                </c:pt>
                <c:pt idx="13">
                  <c:v>1.41</c:v>
                </c:pt>
                <c:pt idx="14">
                  <c:v>1.39</c:v>
                </c:pt>
                <c:pt idx="15">
                  <c:v>1.2</c:v>
                </c:pt>
                <c:pt idx="16">
                  <c:v>1.93</c:v>
                </c:pt>
                <c:pt idx="17">
                  <c:v>1.63</c:v>
                </c:pt>
                <c:pt idx="18">
                  <c:v>1.1100000000000001</c:v>
                </c:pt>
                <c:pt idx="19">
                  <c:v>2.5</c:v>
                </c:pt>
                <c:pt idx="20">
                  <c:v>1.58</c:v>
                </c:pt>
                <c:pt idx="21">
                  <c:v>1.79</c:v>
                </c:pt>
                <c:pt idx="22">
                  <c:v>1.32</c:v>
                </c:pt>
                <c:pt idx="23">
                  <c:v>1.58</c:v>
                </c:pt>
                <c:pt idx="24">
                  <c:v>1.03</c:v>
                </c:pt>
                <c:pt idx="25">
                  <c:v>1.01</c:v>
                </c:pt>
                <c:pt idx="26">
                  <c:v>1.37</c:v>
                </c:pt>
                <c:pt idx="27">
                  <c:v>0.92</c:v>
                </c:pt>
                <c:pt idx="28">
                  <c:v>1.92</c:v>
                </c:pt>
                <c:pt idx="29">
                  <c:v>1.56</c:v>
                </c:pt>
                <c:pt idx="30">
                  <c:v>2.73</c:v>
                </c:pt>
                <c:pt idx="31">
                  <c:v>1.35</c:v>
                </c:pt>
                <c:pt idx="32">
                  <c:v>2.67</c:v>
                </c:pt>
                <c:pt idx="33">
                  <c:v>1.61</c:v>
                </c:pt>
                <c:pt idx="34">
                  <c:v>1.1299999999999999</c:v>
                </c:pt>
                <c:pt idx="35">
                  <c:v>1.17</c:v>
                </c:pt>
                <c:pt idx="36">
                  <c:v>1.54</c:v>
                </c:pt>
                <c:pt idx="37">
                  <c:v>1.48</c:v>
                </c:pt>
                <c:pt idx="38">
                  <c:v>1.6</c:v>
                </c:pt>
                <c:pt idx="39">
                  <c:v>2.5499999999999998</c:v>
                </c:pt>
                <c:pt idx="40">
                  <c:v>2.66</c:v>
                </c:pt>
                <c:pt idx="41">
                  <c:v>2.94</c:v>
                </c:pt>
                <c:pt idx="42">
                  <c:v>2.87</c:v>
                </c:pt>
                <c:pt idx="43">
                  <c:v>2.79</c:v>
                </c:pt>
                <c:pt idx="44">
                  <c:v>2.99</c:v>
                </c:pt>
                <c:pt idx="45">
                  <c:v>2.56</c:v>
                </c:pt>
                <c:pt idx="46">
                  <c:v>2.64</c:v>
                </c:pt>
                <c:pt idx="47">
                  <c:v>2.89</c:v>
                </c:pt>
                <c:pt idx="48">
                  <c:v>2.89</c:v>
                </c:pt>
                <c:pt idx="49">
                  <c:v>2.82</c:v>
                </c:pt>
                <c:pt idx="50">
                  <c:v>2.3199999999999998</c:v>
                </c:pt>
              </c:numCache>
            </c:numRef>
          </c:xVal>
          <c:yVal>
            <c:numRef>
              <c:f>Pearson!$F$7:$F$57</c:f>
              <c:numCache>
                <c:formatCode>General</c:formatCode>
                <c:ptCount val="51"/>
                <c:pt idx="0">
                  <c:v>366</c:v>
                </c:pt>
                <c:pt idx="1">
                  <c:v>755</c:v>
                </c:pt>
                <c:pt idx="2">
                  <c:v>1733</c:v>
                </c:pt>
                <c:pt idx="3">
                  <c:v>717</c:v>
                </c:pt>
                <c:pt idx="4">
                  <c:v>1939</c:v>
                </c:pt>
                <c:pt idx="5">
                  <c:v>414</c:v>
                </c:pt>
                <c:pt idx="6">
                  <c:v>1219</c:v>
                </c:pt>
                <c:pt idx="7">
                  <c:v>1771</c:v>
                </c:pt>
                <c:pt idx="8">
                  <c:v>3151</c:v>
                </c:pt>
                <c:pt idx="9">
                  <c:v>1487</c:v>
                </c:pt>
                <c:pt idx="10">
                  <c:v>1983</c:v>
                </c:pt>
                <c:pt idx="11">
                  <c:v>348</c:v>
                </c:pt>
                <c:pt idx="12">
                  <c:v>1357</c:v>
                </c:pt>
                <c:pt idx="13">
                  <c:v>1260</c:v>
                </c:pt>
                <c:pt idx="14">
                  <c:v>1117</c:v>
                </c:pt>
                <c:pt idx="15">
                  <c:v>1670</c:v>
                </c:pt>
                <c:pt idx="16">
                  <c:v>687</c:v>
                </c:pt>
                <c:pt idx="17">
                  <c:v>87</c:v>
                </c:pt>
                <c:pt idx="18">
                  <c:v>8</c:v>
                </c:pt>
                <c:pt idx="19">
                  <c:v>1262</c:v>
                </c:pt>
                <c:pt idx="20">
                  <c:v>22</c:v>
                </c:pt>
                <c:pt idx="21">
                  <c:v>4</c:v>
                </c:pt>
                <c:pt idx="22">
                  <c:v>1337</c:v>
                </c:pt>
                <c:pt idx="23">
                  <c:v>401</c:v>
                </c:pt>
                <c:pt idx="24">
                  <c:v>3208</c:v>
                </c:pt>
                <c:pt idx="25">
                  <c:v>3210</c:v>
                </c:pt>
                <c:pt idx="26">
                  <c:v>922</c:v>
                </c:pt>
                <c:pt idx="27">
                  <c:v>3089</c:v>
                </c:pt>
                <c:pt idx="28">
                  <c:v>1463</c:v>
                </c:pt>
                <c:pt idx="29">
                  <c:v>5</c:v>
                </c:pt>
                <c:pt idx="30">
                  <c:v>1322</c:v>
                </c:pt>
                <c:pt idx="31">
                  <c:v>1734</c:v>
                </c:pt>
                <c:pt idx="32">
                  <c:v>427</c:v>
                </c:pt>
                <c:pt idx="33">
                  <c:v>561</c:v>
                </c:pt>
                <c:pt idx="34">
                  <c:v>2874</c:v>
                </c:pt>
                <c:pt idx="35">
                  <c:v>2134</c:v>
                </c:pt>
                <c:pt idx="36">
                  <c:v>293</c:v>
                </c:pt>
                <c:pt idx="37">
                  <c:v>251</c:v>
                </c:pt>
                <c:pt idx="38">
                  <c:v>2394</c:v>
                </c:pt>
                <c:pt idx="39">
                  <c:v>342</c:v>
                </c:pt>
                <c:pt idx="40">
                  <c:v>475</c:v>
                </c:pt>
                <c:pt idx="41">
                  <c:v>376</c:v>
                </c:pt>
                <c:pt idx="42">
                  <c:v>410</c:v>
                </c:pt>
                <c:pt idx="43">
                  <c:v>705</c:v>
                </c:pt>
                <c:pt idx="44">
                  <c:v>646</c:v>
                </c:pt>
                <c:pt idx="45">
                  <c:v>538</c:v>
                </c:pt>
                <c:pt idx="46">
                  <c:v>501</c:v>
                </c:pt>
                <c:pt idx="47">
                  <c:v>578</c:v>
                </c:pt>
                <c:pt idx="48">
                  <c:v>561</c:v>
                </c:pt>
                <c:pt idx="49">
                  <c:v>715</c:v>
                </c:pt>
                <c:pt idx="50">
                  <c:v>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69-42E7-8AA6-D510C6CC6B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98815"/>
        <c:axId val="199808415"/>
      </c:scatterChart>
      <c:valAx>
        <c:axId val="199798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9808415"/>
        <c:crosses val="autoZero"/>
        <c:crossBetween val="midCat"/>
      </c:valAx>
      <c:valAx>
        <c:axId val="199808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9798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148562951370214E-2"/>
          <c:y val="1.5851427662451286E-2"/>
          <c:w val="0.93285143704862983"/>
          <c:h val="0.83528604378998084"/>
        </c:manualLayout>
      </c:layout>
      <c:lineChart>
        <c:grouping val="standard"/>
        <c:varyColors val="0"/>
        <c:ser>
          <c:idx val="0"/>
          <c:order val="0"/>
          <c:tx>
            <c:strRef>
              <c:f>'Prévision LECCE'!$B$1</c:f>
              <c:strCache>
                <c:ptCount val="1"/>
                <c:pt idx="0">
                  <c:v>LECCE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'Prévision LECCE'!$B$2:$B$10</c:f>
              <c:numCache>
                <c:formatCode>General</c:formatCode>
                <c:ptCount val="9"/>
                <c:pt idx="0">
                  <c:v>11210.539999999999</c:v>
                </c:pt>
                <c:pt idx="1">
                  <c:v>11336.77</c:v>
                </c:pt>
                <c:pt idx="2">
                  <c:v>15300.68</c:v>
                </c:pt>
                <c:pt idx="3">
                  <c:v>15582.199999999999</c:v>
                </c:pt>
                <c:pt idx="4">
                  <c:v>17467.920000000002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92-4F39-9D27-4F92C815358B}"/>
            </c:ext>
          </c:extLst>
        </c:ser>
        <c:ser>
          <c:idx val="1"/>
          <c:order val="1"/>
          <c:tx>
            <c:strRef>
              <c:f>'Prévision LECCE'!$C$1</c:f>
              <c:strCache>
                <c:ptCount val="1"/>
                <c:pt idx="0">
                  <c:v>Prévision(LECCE)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'Prévision LECCE'!$A$2:$A$10</c:f>
              <c:numCache>
                <c:formatCode>m/d/yyyy</c:formatCode>
                <c:ptCount val="9"/>
                <c:pt idx="0">
                  <c:v>44593</c:v>
                </c:pt>
                <c:pt idx="1">
                  <c:v>44621</c:v>
                </c:pt>
                <c:pt idx="2">
                  <c:v>44652</c:v>
                </c:pt>
                <c:pt idx="3">
                  <c:v>44682</c:v>
                </c:pt>
                <c:pt idx="4">
                  <c:v>44713</c:v>
                </c:pt>
                <c:pt idx="5">
                  <c:v>44743</c:v>
                </c:pt>
                <c:pt idx="6">
                  <c:v>44774</c:v>
                </c:pt>
                <c:pt idx="7">
                  <c:v>44805</c:v>
                </c:pt>
                <c:pt idx="8">
                  <c:v>44835</c:v>
                </c:pt>
              </c:numCache>
            </c:numRef>
          </c:cat>
          <c:val>
            <c:numRef>
              <c:f>'Prévision LECCE'!$C$2:$C$10</c:f>
              <c:numCache>
                <c:formatCode>General</c:formatCode>
                <c:ptCount val="9"/>
                <c:pt idx="4">
                  <c:v>17467.920000000002</c:v>
                </c:pt>
                <c:pt idx="5">
                  <c:v>18491.317890939848</c:v>
                </c:pt>
                <c:pt idx="6">
                  <c:v>21892.738615053822</c:v>
                </c:pt>
                <c:pt idx="7">
                  <c:v>22070.670688785631</c:v>
                </c:pt>
                <c:pt idx="8">
                  <c:v>25472.091412899605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92-4F39-9D27-4F92C815358B}"/>
            </c:ext>
          </c:extLst>
        </c:ser>
        <c:ser>
          <c:idx val="2"/>
          <c:order val="2"/>
          <c:tx>
            <c:strRef>
              <c:f>'Prévision LECCE'!$D$1</c:f>
              <c:strCache>
                <c:ptCount val="1"/>
                <c:pt idx="0">
                  <c:v>Limite de confiance inférieure(LECCE)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'Prévision LECCE'!$A$2:$A$10</c:f>
              <c:numCache>
                <c:formatCode>m/d/yyyy</c:formatCode>
                <c:ptCount val="9"/>
                <c:pt idx="0">
                  <c:v>44593</c:v>
                </c:pt>
                <c:pt idx="1">
                  <c:v>44621</c:v>
                </c:pt>
                <c:pt idx="2">
                  <c:v>44652</c:v>
                </c:pt>
                <c:pt idx="3">
                  <c:v>44682</c:v>
                </c:pt>
                <c:pt idx="4">
                  <c:v>44713</c:v>
                </c:pt>
                <c:pt idx="5">
                  <c:v>44743</c:v>
                </c:pt>
                <c:pt idx="6">
                  <c:v>44774</c:v>
                </c:pt>
                <c:pt idx="7">
                  <c:v>44805</c:v>
                </c:pt>
                <c:pt idx="8">
                  <c:v>44835</c:v>
                </c:pt>
              </c:numCache>
            </c:numRef>
          </c:cat>
          <c:val>
            <c:numRef>
              <c:f>'Prévision LECCE'!$D$2:$D$10</c:f>
              <c:numCache>
                <c:formatCode>General</c:formatCode>
                <c:ptCount val="9"/>
                <c:pt idx="4" formatCode="0.00">
                  <c:v>17467.920000000002</c:v>
                </c:pt>
                <c:pt idx="5" formatCode="0.00">
                  <c:v>17315.156531364984</c:v>
                </c:pt>
                <c:pt idx="6" formatCode="0.00">
                  <c:v>20716.571962764749</c:v>
                </c:pt>
                <c:pt idx="7" formatCode="0.00">
                  <c:v>20884.758207377097</c:v>
                </c:pt>
                <c:pt idx="8" formatCode="0.00">
                  <c:v>24286.164350450508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92-4F39-9D27-4F92C815358B}"/>
            </c:ext>
          </c:extLst>
        </c:ser>
        <c:ser>
          <c:idx val="3"/>
          <c:order val="3"/>
          <c:tx>
            <c:strRef>
              <c:f>'Prévision LECCE'!$E$1</c:f>
              <c:strCache>
                <c:ptCount val="1"/>
                <c:pt idx="0">
                  <c:v>Limite de confiance supérieure(LECCE)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'Prévision LECCE'!$A$2:$A$10</c:f>
              <c:numCache>
                <c:formatCode>m/d/yyyy</c:formatCode>
                <c:ptCount val="9"/>
                <c:pt idx="0">
                  <c:v>44593</c:v>
                </c:pt>
                <c:pt idx="1">
                  <c:v>44621</c:v>
                </c:pt>
                <c:pt idx="2">
                  <c:v>44652</c:v>
                </c:pt>
                <c:pt idx="3">
                  <c:v>44682</c:v>
                </c:pt>
                <c:pt idx="4">
                  <c:v>44713</c:v>
                </c:pt>
                <c:pt idx="5">
                  <c:v>44743</c:v>
                </c:pt>
                <c:pt idx="6">
                  <c:v>44774</c:v>
                </c:pt>
                <c:pt idx="7">
                  <c:v>44805</c:v>
                </c:pt>
                <c:pt idx="8">
                  <c:v>44835</c:v>
                </c:pt>
              </c:numCache>
            </c:numRef>
          </c:cat>
          <c:val>
            <c:numRef>
              <c:f>'Prévision LECCE'!$E$2:$E$10</c:f>
              <c:numCache>
                <c:formatCode>General</c:formatCode>
                <c:ptCount val="9"/>
                <c:pt idx="4" formatCode="0.00">
                  <c:v>17467.920000000002</c:v>
                </c:pt>
                <c:pt idx="5" formatCode="0.00">
                  <c:v>19667.479250514712</c:v>
                </c:pt>
                <c:pt idx="6" formatCode="0.00">
                  <c:v>23068.905267342896</c:v>
                </c:pt>
                <c:pt idx="7" formatCode="0.00">
                  <c:v>23256.583170194164</c:v>
                </c:pt>
                <c:pt idx="8" formatCode="0.00">
                  <c:v>26658.018475348701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92-4F39-9D27-4F92C8153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1319920"/>
        <c:axId val="1881340560"/>
      </c:lineChart>
      <c:catAx>
        <c:axId val="1881319920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81340560"/>
        <c:crosses val="autoZero"/>
        <c:auto val="1"/>
        <c:lblAlgn val="ctr"/>
        <c:lblOffset val="100"/>
        <c:noMultiLvlLbl val="0"/>
      </c:catAx>
      <c:valAx>
        <c:axId val="188134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81319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'Prévision BRESCIA'!$B$1</c:f>
              <c:strCache>
                <c:ptCount val="1"/>
                <c:pt idx="0">
                  <c:v>BRE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'Prévision BRESCIA'!$B$2:$B$8</c:f>
              <c:numCache>
                <c:formatCode>General</c:formatCode>
                <c:ptCount val="7"/>
                <c:pt idx="0">
                  <c:v>78080.390000000014</c:v>
                </c:pt>
                <c:pt idx="1">
                  <c:v>86133.830000000016</c:v>
                </c:pt>
                <c:pt idx="2">
                  <c:v>76641.480000000025</c:v>
                </c:pt>
                <c:pt idx="3">
                  <c:v>90699.699999999983</c:v>
                </c:pt>
                <c:pt idx="4">
                  <c:v>69324.179999999993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50-4B4B-A9B6-81EB26C586AE}"/>
            </c:ext>
          </c:extLst>
        </c:ser>
        <c:ser>
          <c:idx val="1"/>
          <c:order val="1"/>
          <c:tx>
            <c:strRef>
              <c:f>'Prévision BRESCIA'!$C$1</c:f>
              <c:strCache>
                <c:ptCount val="1"/>
                <c:pt idx="0">
                  <c:v>Prévision(BRE)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'Prévision BRESCIA'!$A$2:$A$8</c:f>
              <c:numCache>
                <c:formatCode>m/d/yyyy</c:formatCode>
                <c:ptCount val="7"/>
                <c:pt idx="0">
                  <c:v>44593</c:v>
                </c:pt>
                <c:pt idx="1">
                  <c:v>44621</c:v>
                </c:pt>
                <c:pt idx="2">
                  <c:v>44652</c:v>
                </c:pt>
                <c:pt idx="3">
                  <c:v>44682</c:v>
                </c:pt>
                <c:pt idx="4">
                  <c:v>44713</c:v>
                </c:pt>
                <c:pt idx="5">
                  <c:v>44743</c:v>
                </c:pt>
                <c:pt idx="6">
                  <c:v>44774</c:v>
                </c:pt>
              </c:numCache>
            </c:numRef>
          </c:cat>
          <c:val>
            <c:numRef>
              <c:f>'Prévision BRESCIA'!$C$2:$C$8</c:f>
              <c:numCache>
                <c:formatCode>General</c:formatCode>
                <c:ptCount val="7"/>
                <c:pt idx="4">
                  <c:v>69324.179999999993</c:v>
                </c:pt>
                <c:pt idx="5">
                  <c:v>87105.683612574721</c:v>
                </c:pt>
                <c:pt idx="6">
                  <c:v>75648.820982024947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50-4B4B-A9B6-81EB26C586AE}"/>
            </c:ext>
          </c:extLst>
        </c:ser>
        <c:ser>
          <c:idx val="2"/>
          <c:order val="2"/>
          <c:tx>
            <c:strRef>
              <c:f>'Prévision BRESCIA'!$D$1</c:f>
              <c:strCache>
                <c:ptCount val="1"/>
                <c:pt idx="0">
                  <c:v>Limite de confiance inférieure(BRE)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'Prévision BRESCIA'!$A$2:$A$8</c:f>
              <c:numCache>
                <c:formatCode>m/d/yyyy</c:formatCode>
                <c:ptCount val="7"/>
                <c:pt idx="0">
                  <c:v>44593</c:v>
                </c:pt>
                <c:pt idx="1">
                  <c:v>44621</c:v>
                </c:pt>
                <c:pt idx="2">
                  <c:v>44652</c:v>
                </c:pt>
                <c:pt idx="3">
                  <c:v>44682</c:v>
                </c:pt>
                <c:pt idx="4">
                  <c:v>44713</c:v>
                </c:pt>
                <c:pt idx="5">
                  <c:v>44743</c:v>
                </c:pt>
                <c:pt idx="6">
                  <c:v>44774</c:v>
                </c:pt>
              </c:numCache>
            </c:numRef>
          </c:cat>
          <c:val>
            <c:numRef>
              <c:f>'Prévision BRESCIA'!$D$2:$D$8</c:f>
              <c:numCache>
                <c:formatCode>General</c:formatCode>
                <c:ptCount val="7"/>
                <c:pt idx="4" formatCode="0.00">
                  <c:v>69324.179999999993</c:v>
                </c:pt>
                <c:pt idx="5" formatCode="0.00">
                  <c:v>79427.320038069098</c:v>
                </c:pt>
                <c:pt idx="6" formatCode="0.00">
                  <c:v>67970.422854960983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50-4B4B-A9B6-81EB26C586AE}"/>
            </c:ext>
          </c:extLst>
        </c:ser>
        <c:ser>
          <c:idx val="3"/>
          <c:order val="3"/>
          <c:tx>
            <c:strRef>
              <c:f>'Prévision BRESCIA'!$E$1</c:f>
              <c:strCache>
                <c:ptCount val="1"/>
                <c:pt idx="0">
                  <c:v>Limite de confiance supérieure(BRE)</c:v>
                </c:pt>
              </c:strCache>
            </c:strRef>
          </c:tx>
          <c:spPr>
            <a:ln w="12700" cap="rnd">
              <a:solidFill>
                <a:srgbClr val="ED7D31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'Prévision BRESCIA'!$A$2:$A$8</c:f>
              <c:numCache>
                <c:formatCode>m/d/yyyy</c:formatCode>
                <c:ptCount val="7"/>
                <c:pt idx="0">
                  <c:v>44593</c:v>
                </c:pt>
                <c:pt idx="1">
                  <c:v>44621</c:v>
                </c:pt>
                <c:pt idx="2">
                  <c:v>44652</c:v>
                </c:pt>
                <c:pt idx="3">
                  <c:v>44682</c:v>
                </c:pt>
                <c:pt idx="4">
                  <c:v>44713</c:v>
                </c:pt>
                <c:pt idx="5">
                  <c:v>44743</c:v>
                </c:pt>
                <c:pt idx="6">
                  <c:v>44774</c:v>
                </c:pt>
              </c:numCache>
            </c:numRef>
          </c:cat>
          <c:val>
            <c:numRef>
              <c:f>'Prévision BRESCIA'!$E$2:$E$8</c:f>
              <c:numCache>
                <c:formatCode>General</c:formatCode>
                <c:ptCount val="7"/>
                <c:pt idx="4" formatCode="0.00">
                  <c:v>69324.179999999993</c:v>
                </c:pt>
                <c:pt idx="5" formatCode="0.00">
                  <c:v>94784.047187080345</c:v>
                </c:pt>
                <c:pt idx="6" formatCode="0.00">
                  <c:v>83327.21910908891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50-4B4B-A9B6-81EB26C58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1310800"/>
        <c:axId val="1881335760"/>
      </c:lineChart>
      <c:catAx>
        <c:axId val="1881310800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81335760"/>
        <c:crosses val="autoZero"/>
        <c:auto val="1"/>
        <c:lblAlgn val="ctr"/>
        <c:lblOffset val="100"/>
        <c:noMultiLvlLbl val="0"/>
      </c:catAx>
      <c:valAx>
        <c:axId val="188133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81310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BRESCIA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'Regression linéaire'!$G$6:$G$34</c:f>
              <c:numCache>
                <c:formatCode>General</c:formatCode>
                <c:ptCount val="29"/>
                <c:pt idx="0">
                  <c:v>1.84</c:v>
                </c:pt>
                <c:pt idx="1">
                  <c:v>1.95</c:v>
                </c:pt>
                <c:pt idx="2">
                  <c:v>1.48</c:v>
                </c:pt>
                <c:pt idx="3">
                  <c:v>1.99</c:v>
                </c:pt>
                <c:pt idx="4">
                  <c:v>1.27</c:v>
                </c:pt>
                <c:pt idx="5">
                  <c:v>1.61</c:v>
                </c:pt>
                <c:pt idx="6">
                  <c:v>1.43</c:v>
                </c:pt>
                <c:pt idx="7">
                  <c:v>1.64</c:v>
                </c:pt>
                <c:pt idx="8">
                  <c:v>1.1100000000000001</c:v>
                </c:pt>
                <c:pt idx="9">
                  <c:v>1.88</c:v>
                </c:pt>
                <c:pt idx="10">
                  <c:v>1.1399999999999999</c:v>
                </c:pt>
                <c:pt idx="11">
                  <c:v>1.6</c:v>
                </c:pt>
                <c:pt idx="12">
                  <c:v>1.5</c:v>
                </c:pt>
                <c:pt idx="13">
                  <c:v>1.41</c:v>
                </c:pt>
                <c:pt idx="14">
                  <c:v>1.39</c:v>
                </c:pt>
                <c:pt idx="15">
                  <c:v>1.2</c:v>
                </c:pt>
                <c:pt idx="16">
                  <c:v>1.93</c:v>
                </c:pt>
                <c:pt idx="17">
                  <c:v>1.32</c:v>
                </c:pt>
                <c:pt idx="18">
                  <c:v>1.58</c:v>
                </c:pt>
                <c:pt idx="19">
                  <c:v>1.03</c:v>
                </c:pt>
                <c:pt idx="20">
                  <c:v>1.01</c:v>
                </c:pt>
                <c:pt idx="21">
                  <c:v>1.37</c:v>
                </c:pt>
                <c:pt idx="22">
                  <c:v>0.92</c:v>
                </c:pt>
                <c:pt idx="23">
                  <c:v>1.92</c:v>
                </c:pt>
                <c:pt idx="24">
                  <c:v>1.35</c:v>
                </c:pt>
                <c:pt idx="25">
                  <c:v>1.1299999999999999</c:v>
                </c:pt>
                <c:pt idx="26">
                  <c:v>1.17</c:v>
                </c:pt>
                <c:pt idx="27">
                  <c:v>1.54</c:v>
                </c:pt>
                <c:pt idx="28">
                  <c:v>1.6</c:v>
                </c:pt>
              </c:numCache>
            </c:numRef>
          </c:xVal>
          <c:yVal>
            <c:numRef>
              <c:f>'Regression linéaire'!$H$6:$H$34</c:f>
              <c:numCache>
                <c:formatCode>General</c:formatCode>
                <c:ptCount val="29"/>
                <c:pt idx="0">
                  <c:v>366</c:v>
                </c:pt>
                <c:pt idx="1">
                  <c:v>755</c:v>
                </c:pt>
                <c:pt idx="2">
                  <c:v>1733</c:v>
                </c:pt>
                <c:pt idx="3">
                  <c:v>717</c:v>
                </c:pt>
                <c:pt idx="4">
                  <c:v>1939</c:v>
                </c:pt>
                <c:pt idx="5">
                  <c:v>414</c:v>
                </c:pt>
                <c:pt idx="6">
                  <c:v>1219</c:v>
                </c:pt>
                <c:pt idx="7">
                  <c:v>1771</c:v>
                </c:pt>
                <c:pt idx="8">
                  <c:v>3151</c:v>
                </c:pt>
                <c:pt idx="9">
                  <c:v>1487</c:v>
                </c:pt>
                <c:pt idx="10">
                  <c:v>1983</c:v>
                </c:pt>
                <c:pt idx="11">
                  <c:v>348</c:v>
                </c:pt>
                <c:pt idx="12">
                  <c:v>1357</c:v>
                </c:pt>
                <c:pt idx="13">
                  <c:v>1260</c:v>
                </c:pt>
                <c:pt idx="14">
                  <c:v>1117</c:v>
                </c:pt>
                <c:pt idx="15">
                  <c:v>1670</c:v>
                </c:pt>
                <c:pt idx="16">
                  <c:v>687</c:v>
                </c:pt>
                <c:pt idx="17">
                  <c:v>1337</c:v>
                </c:pt>
                <c:pt idx="18">
                  <c:v>401</c:v>
                </c:pt>
                <c:pt idx="19">
                  <c:v>3208</c:v>
                </c:pt>
                <c:pt idx="20">
                  <c:v>3210</c:v>
                </c:pt>
                <c:pt idx="21">
                  <c:v>922</c:v>
                </c:pt>
                <c:pt idx="22">
                  <c:v>3089</c:v>
                </c:pt>
                <c:pt idx="23">
                  <c:v>1463</c:v>
                </c:pt>
                <c:pt idx="24">
                  <c:v>1734</c:v>
                </c:pt>
                <c:pt idx="25">
                  <c:v>2874</c:v>
                </c:pt>
                <c:pt idx="26">
                  <c:v>2134</c:v>
                </c:pt>
                <c:pt idx="27">
                  <c:v>293</c:v>
                </c:pt>
                <c:pt idx="28">
                  <c:v>2394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3E-47C9-9633-E5BAF1F29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699567"/>
        <c:axId val="309701967"/>
      </c:scatterChart>
      <c:valAx>
        <c:axId val="309699567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9701967"/>
        <c:crosses val="autoZero"/>
        <c:crossBetween val="midCat"/>
      </c:valAx>
      <c:valAx>
        <c:axId val="30970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09699567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Variable X 1 Graphique des résidus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'Regression linéaire'!$G$6:$G$34</c:f>
              <c:numCache>
                <c:formatCode>General</c:formatCode>
                <c:ptCount val="29"/>
                <c:pt idx="0">
                  <c:v>1.84</c:v>
                </c:pt>
                <c:pt idx="1">
                  <c:v>1.95</c:v>
                </c:pt>
                <c:pt idx="2">
                  <c:v>1.48</c:v>
                </c:pt>
                <c:pt idx="3">
                  <c:v>1.99</c:v>
                </c:pt>
                <c:pt idx="4">
                  <c:v>1.27</c:v>
                </c:pt>
                <c:pt idx="5">
                  <c:v>1.61</c:v>
                </c:pt>
                <c:pt idx="6">
                  <c:v>1.43</c:v>
                </c:pt>
                <c:pt idx="7">
                  <c:v>1.64</c:v>
                </c:pt>
                <c:pt idx="8">
                  <c:v>1.1100000000000001</c:v>
                </c:pt>
                <c:pt idx="9">
                  <c:v>1.88</c:v>
                </c:pt>
                <c:pt idx="10">
                  <c:v>1.1399999999999999</c:v>
                </c:pt>
                <c:pt idx="11">
                  <c:v>1.6</c:v>
                </c:pt>
                <c:pt idx="12">
                  <c:v>1.5</c:v>
                </c:pt>
                <c:pt idx="13">
                  <c:v>1.41</c:v>
                </c:pt>
                <c:pt idx="14">
                  <c:v>1.39</c:v>
                </c:pt>
                <c:pt idx="15">
                  <c:v>1.2</c:v>
                </c:pt>
                <c:pt idx="16">
                  <c:v>1.93</c:v>
                </c:pt>
                <c:pt idx="17">
                  <c:v>1.32</c:v>
                </c:pt>
                <c:pt idx="18">
                  <c:v>1.58</c:v>
                </c:pt>
                <c:pt idx="19">
                  <c:v>1.03</c:v>
                </c:pt>
                <c:pt idx="20">
                  <c:v>1.01</c:v>
                </c:pt>
                <c:pt idx="21">
                  <c:v>1.37</c:v>
                </c:pt>
                <c:pt idx="22">
                  <c:v>0.92</c:v>
                </c:pt>
                <c:pt idx="23">
                  <c:v>1.92</c:v>
                </c:pt>
                <c:pt idx="24">
                  <c:v>1.35</c:v>
                </c:pt>
                <c:pt idx="25">
                  <c:v>1.1299999999999999</c:v>
                </c:pt>
                <c:pt idx="26">
                  <c:v>1.17</c:v>
                </c:pt>
                <c:pt idx="27">
                  <c:v>1.54</c:v>
                </c:pt>
                <c:pt idx="28">
                  <c:v>1.6</c:v>
                </c:pt>
              </c:numCache>
            </c:numRef>
          </c:xVal>
          <c:yVal>
            <c:numRef>
              <c:f>'Regression linéaire'!$H$61:$H$89</c:f>
              <c:numCache>
                <c:formatCode>General</c:formatCode>
                <c:ptCount val="29"/>
                <c:pt idx="0">
                  <c:v>-355.95433420154131</c:v>
                </c:pt>
                <c:pt idx="1">
                  <c:v>272.91857746335336</c:v>
                </c:pt>
                <c:pt idx="2">
                  <c:v>226.00704580425827</c:v>
                </c:pt>
                <c:pt idx="3">
                  <c:v>322.1450907960425</c:v>
                </c:pt>
                <c:pt idx="4">
                  <c:v>-25.932149192358338</c:v>
                </c:pt>
                <c:pt idx="5">
                  <c:v>-809.50678586450249</c:v>
                </c:pt>
                <c:pt idx="6">
                  <c:v>-397.0260958616027</c:v>
                </c:pt>
                <c:pt idx="7">
                  <c:v>612.91309913501391</c:v>
                </c:pt>
                <c:pt idx="8">
                  <c:v>837.16179747688602</c:v>
                </c:pt>
                <c:pt idx="9">
                  <c:v>852.27217913114691</c:v>
                </c:pt>
                <c:pt idx="10">
                  <c:v>-265.41831752359758</c:v>
                </c:pt>
                <c:pt idx="11">
                  <c:v>-897.31341419767477</c:v>
                </c:pt>
                <c:pt idx="12">
                  <c:v>-106.37969752939716</c:v>
                </c:pt>
                <c:pt idx="13">
                  <c:v>-399.63935252794727</c:v>
                </c:pt>
                <c:pt idx="14">
                  <c:v>-586.25260919429184</c:v>
                </c:pt>
                <c:pt idx="15">
                  <c:v>-447.57854752456433</c:v>
                </c:pt>
                <c:pt idx="16">
                  <c:v>161.30532079700879</c:v>
                </c:pt>
                <c:pt idx="17">
                  <c:v>-518.89900752649737</c:v>
                </c:pt>
                <c:pt idx="18">
                  <c:v>-887.92667086401934</c:v>
                </c:pt>
                <c:pt idx="19">
                  <c:v>719.7087708115082</c:v>
                </c:pt>
                <c:pt idx="20">
                  <c:v>678.09551414516363</c:v>
                </c:pt>
                <c:pt idx="21">
                  <c:v>-824.86586586063595</c:v>
                </c:pt>
                <c:pt idx="22">
                  <c:v>360.83585914661353</c:v>
                </c:pt>
                <c:pt idx="23">
                  <c:v>915.49869246383605</c:v>
                </c:pt>
                <c:pt idx="24">
                  <c:v>-56.479122526980518</c:v>
                </c:pt>
                <c:pt idx="25">
                  <c:v>603.77505414323014</c:v>
                </c:pt>
                <c:pt idx="26">
                  <c:v>-48.998432524080727</c:v>
                </c:pt>
                <c:pt idx="27">
                  <c:v>-1083.153184196708</c:v>
                </c:pt>
                <c:pt idx="28">
                  <c:v>1148.6865858023252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5-4396-93CC-347DF5786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695631"/>
        <c:axId val="321678831"/>
      </c:scatterChart>
      <c:valAx>
        <c:axId val="3216956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Variable X 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1678831"/>
        <c:crosses val="autoZero"/>
        <c:crossBetween val="midCat"/>
      </c:valAx>
      <c:valAx>
        <c:axId val="32167883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Résidus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16956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Variable X 1 Courbe de régression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</c:v>
          </c:tx>
          <c:spPr>
            <a:ln w="19050">
              <a:noFill/>
            </a:ln>
          </c:spPr>
          <c:xVal>
            <c:numRef>
              <c:f>'Regression linéaire'!$G$6:$G$34</c:f>
              <c:numCache>
                <c:formatCode>General</c:formatCode>
                <c:ptCount val="29"/>
                <c:pt idx="0">
                  <c:v>1.84</c:v>
                </c:pt>
                <c:pt idx="1">
                  <c:v>1.95</c:v>
                </c:pt>
                <c:pt idx="2">
                  <c:v>1.48</c:v>
                </c:pt>
                <c:pt idx="3">
                  <c:v>1.99</c:v>
                </c:pt>
                <c:pt idx="4">
                  <c:v>1.27</c:v>
                </c:pt>
                <c:pt idx="5">
                  <c:v>1.61</c:v>
                </c:pt>
                <c:pt idx="6">
                  <c:v>1.43</c:v>
                </c:pt>
                <c:pt idx="7">
                  <c:v>1.64</c:v>
                </c:pt>
                <c:pt idx="8">
                  <c:v>1.1100000000000001</c:v>
                </c:pt>
                <c:pt idx="9">
                  <c:v>1.88</c:v>
                </c:pt>
                <c:pt idx="10">
                  <c:v>1.1399999999999999</c:v>
                </c:pt>
                <c:pt idx="11">
                  <c:v>1.6</c:v>
                </c:pt>
                <c:pt idx="12">
                  <c:v>1.5</c:v>
                </c:pt>
                <c:pt idx="13">
                  <c:v>1.41</c:v>
                </c:pt>
                <c:pt idx="14">
                  <c:v>1.39</c:v>
                </c:pt>
                <c:pt idx="15">
                  <c:v>1.2</c:v>
                </c:pt>
                <c:pt idx="16">
                  <c:v>1.93</c:v>
                </c:pt>
                <c:pt idx="17">
                  <c:v>1.32</c:v>
                </c:pt>
                <c:pt idx="18">
                  <c:v>1.58</c:v>
                </c:pt>
                <c:pt idx="19">
                  <c:v>1.03</c:v>
                </c:pt>
                <c:pt idx="20">
                  <c:v>1.01</c:v>
                </c:pt>
                <c:pt idx="21">
                  <c:v>1.37</c:v>
                </c:pt>
                <c:pt idx="22">
                  <c:v>0.92</c:v>
                </c:pt>
                <c:pt idx="23">
                  <c:v>1.92</c:v>
                </c:pt>
                <c:pt idx="24">
                  <c:v>1.35</c:v>
                </c:pt>
                <c:pt idx="25">
                  <c:v>1.1299999999999999</c:v>
                </c:pt>
                <c:pt idx="26">
                  <c:v>1.17</c:v>
                </c:pt>
                <c:pt idx="27">
                  <c:v>1.54</c:v>
                </c:pt>
                <c:pt idx="28">
                  <c:v>1.6</c:v>
                </c:pt>
              </c:numCache>
            </c:numRef>
          </c:xVal>
          <c:yVal>
            <c:numRef>
              <c:f>'Regression linéaire'!$H$6:$H$34</c:f>
              <c:numCache>
                <c:formatCode>General</c:formatCode>
                <c:ptCount val="29"/>
                <c:pt idx="0">
                  <c:v>366</c:v>
                </c:pt>
                <c:pt idx="1">
                  <c:v>755</c:v>
                </c:pt>
                <c:pt idx="2">
                  <c:v>1733</c:v>
                </c:pt>
                <c:pt idx="3">
                  <c:v>717</c:v>
                </c:pt>
                <c:pt idx="4">
                  <c:v>1939</c:v>
                </c:pt>
                <c:pt idx="5">
                  <c:v>414</c:v>
                </c:pt>
                <c:pt idx="6">
                  <c:v>1219</c:v>
                </c:pt>
                <c:pt idx="7">
                  <c:v>1771</c:v>
                </c:pt>
                <c:pt idx="8">
                  <c:v>3151</c:v>
                </c:pt>
                <c:pt idx="9">
                  <c:v>1487</c:v>
                </c:pt>
                <c:pt idx="10">
                  <c:v>1983</c:v>
                </c:pt>
                <c:pt idx="11">
                  <c:v>348</c:v>
                </c:pt>
                <c:pt idx="12">
                  <c:v>1357</c:v>
                </c:pt>
                <c:pt idx="13">
                  <c:v>1260</c:v>
                </c:pt>
                <c:pt idx="14">
                  <c:v>1117</c:v>
                </c:pt>
                <c:pt idx="15">
                  <c:v>1670</c:v>
                </c:pt>
                <c:pt idx="16">
                  <c:v>687</c:v>
                </c:pt>
                <c:pt idx="17">
                  <c:v>1337</c:v>
                </c:pt>
                <c:pt idx="18">
                  <c:v>401</c:v>
                </c:pt>
                <c:pt idx="19">
                  <c:v>3208</c:v>
                </c:pt>
                <c:pt idx="20">
                  <c:v>3210</c:v>
                </c:pt>
                <c:pt idx="21">
                  <c:v>922</c:v>
                </c:pt>
                <c:pt idx="22">
                  <c:v>3089</c:v>
                </c:pt>
                <c:pt idx="23">
                  <c:v>1463</c:v>
                </c:pt>
                <c:pt idx="24">
                  <c:v>1734</c:v>
                </c:pt>
                <c:pt idx="25">
                  <c:v>2874</c:v>
                </c:pt>
                <c:pt idx="26">
                  <c:v>2134</c:v>
                </c:pt>
                <c:pt idx="27">
                  <c:v>293</c:v>
                </c:pt>
                <c:pt idx="28">
                  <c:v>2394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D6-4E80-9E23-CA4EAD0D5E58}"/>
            </c:ext>
          </c:extLst>
        </c:ser>
        <c:ser>
          <c:idx val="1"/>
          <c:order val="1"/>
          <c:tx>
            <c:v>Prévisions pour Y</c:v>
          </c:tx>
          <c:spPr>
            <a:ln w="19050">
              <a:noFill/>
            </a:ln>
          </c:spPr>
          <c:xVal>
            <c:numRef>
              <c:f>'Regression linéaire'!$G$6:$G$34</c:f>
              <c:numCache>
                <c:formatCode>General</c:formatCode>
                <c:ptCount val="29"/>
                <c:pt idx="0">
                  <c:v>1.84</c:v>
                </c:pt>
                <c:pt idx="1">
                  <c:v>1.95</c:v>
                </c:pt>
                <c:pt idx="2">
                  <c:v>1.48</c:v>
                </c:pt>
                <c:pt idx="3">
                  <c:v>1.99</c:v>
                </c:pt>
                <c:pt idx="4">
                  <c:v>1.27</c:v>
                </c:pt>
                <c:pt idx="5">
                  <c:v>1.61</c:v>
                </c:pt>
                <c:pt idx="6">
                  <c:v>1.43</c:v>
                </c:pt>
                <c:pt idx="7">
                  <c:v>1.64</c:v>
                </c:pt>
                <c:pt idx="8">
                  <c:v>1.1100000000000001</c:v>
                </c:pt>
                <c:pt idx="9">
                  <c:v>1.88</c:v>
                </c:pt>
                <c:pt idx="10">
                  <c:v>1.1399999999999999</c:v>
                </c:pt>
                <c:pt idx="11">
                  <c:v>1.6</c:v>
                </c:pt>
                <c:pt idx="12">
                  <c:v>1.5</c:v>
                </c:pt>
                <c:pt idx="13">
                  <c:v>1.41</c:v>
                </c:pt>
                <c:pt idx="14">
                  <c:v>1.39</c:v>
                </c:pt>
                <c:pt idx="15">
                  <c:v>1.2</c:v>
                </c:pt>
                <c:pt idx="16">
                  <c:v>1.93</c:v>
                </c:pt>
                <c:pt idx="17">
                  <c:v>1.32</c:v>
                </c:pt>
                <c:pt idx="18">
                  <c:v>1.58</c:v>
                </c:pt>
                <c:pt idx="19">
                  <c:v>1.03</c:v>
                </c:pt>
                <c:pt idx="20">
                  <c:v>1.01</c:v>
                </c:pt>
                <c:pt idx="21">
                  <c:v>1.37</c:v>
                </c:pt>
                <c:pt idx="22">
                  <c:v>0.92</c:v>
                </c:pt>
                <c:pt idx="23">
                  <c:v>1.92</c:v>
                </c:pt>
                <c:pt idx="24">
                  <c:v>1.35</c:v>
                </c:pt>
                <c:pt idx="25">
                  <c:v>1.1299999999999999</c:v>
                </c:pt>
                <c:pt idx="26">
                  <c:v>1.17</c:v>
                </c:pt>
                <c:pt idx="27">
                  <c:v>1.54</c:v>
                </c:pt>
                <c:pt idx="28">
                  <c:v>1.6</c:v>
                </c:pt>
              </c:numCache>
            </c:numRef>
          </c:xVal>
          <c:yVal>
            <c:numRef>
              <c:f>'Regression linéaire'!$G$61:$G$89</c:f>
              <c:numCache>
                <c:formatCode>General</c:formatCode>
                <c:ptCount val="29"/>
                <c:pt idx="0">
                  <c:v>721.95433420154131</c:v>
                </c:pt>
                <c:pt idx="1">
                  <c:v>482.08142253664664</c:v>
                </c:pt>
                <c:pt idx="2">
                  <c:v>1506.9929541957417</c:v>
                </c:pt>
                <c:pt idx="3">
                  <c:v>394.8549092039575</c:v>
                </c:pt>
                <c:pt idx="4">
                  <c:v>1964.9321491923583</c:v>
                </c:pt>
                <c:pt idx="5">
                  <c:v>1223.5067858645025</c:v>
                </c:pt>
                <c:pt idx="6">
                  <c:v>1616.0260958616027</c:v>
                </c:pt>
                <c:pt idx="7">
                  <c:v>1158.0869008649861</c:v>
                </c:pt>
                <c:pt idx="8">
                  <c:v>2313.838202523114</c:v>
                </c:pt>
                <c:pt idx="9">
                  <c:v>634.72782086885309</c:v>
                </c:pt>
                <c:pt idx="10">
                  <c:v>2248.4183175235976</c:v>
                </c:pt>
                <c:pt idx="11">
                  <c:v>1245.3134141976748</c:v>
                </c:pt>
                <c:pt idx="12">
                  <c:v>1463.3796975293972</c:v>
                </c:pt>
                <c:pt idx="13">
                  <c:v>1659.6393525279473</c:v>
                </c:pt>
                <c:pt idx="14">
                  <c:v>1703.2526091942918</c:v>
                </c:pt>
                <c:pt idx="15">
                  <c:v>2117.5785475245643</c:v>
                </c:pt>
                <c:pt idx="16">
                  <c:v>525.69467920299121</c:v>
                </c:pt>
                <c:pt idx="17">
                  <c:v>1855.8990075264974</c:v>
                </c:pt>
                <c:pt idx="18">
                  <c:v>1288.9266708640193</c:v>
                </c:pt>
                <c:pt idx="19">
                  <c:v>2488.2912291884918</c:v>
                </c:pt>
                <c:pt idx="20">
                  <c:v>2531.9044858548364</c:v>
                </c:pt>
                <c:pt idx="21">
                  <c:v>1746.8658658606359</c:v>
                </c:pt>
                <c:pt idx="22">
                  <c:v>2728.1641408533865</c:v>
                </c:pt>
                <c:pt idx="23">
                  <c:v>547.50130753616395</c:v>
                </c:pt>
                <c:pt idx="24">
                  <c:v>1790.4791225269805</c:v>
                </c:pt>
                <c:pt idx="25">
                  <c:v>2270.2249458567699</c:v>
                </c:pt>
                <c:pt idx="26">
                  <c:v>2182.9984325240807</c:v>
                </c:pt>
                <c:pt idx="27">
                  <c:v>1376.153184196708</c:v>
                </c:pt>
                <c:pt idx="28">
                  <c:v>1245.3134141976748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D6-4E80-9E23-CA4EAD0D5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693231"/>
        <c:axId val="321692751"/>
      </c:scatterChart>
      <c:valAx>
        <c:axId val="3216932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Variable X 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1692751"/>
        <c:crosses val="autoZero"/>
        <c:crossBetween val="midCat"/>
      </c:valAx>
      <c:valAx>
        <c:axId val="32169275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169323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Répartition des probabilités</a:t>
            </a:r>
          </a:p>
        </c:rich>
      </c:tx>
      <c:layout>
        <c:manualLayout>
          <c:xMode val="edge"/>
          <c:yMode val="edge"/>
          <c:x val="0.20859711286089236"/>
          <c:y val="4.1440542881988535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'Regression linéaire'!$K$61:$K$89</c:f>
              <c:numCache>
                <c:formatCode>General</c:formatCode>
                <c:ptCount val="29"/>
                <c:pt idx="0">
                  <c:v>1.7241379310344827</c:v>
                </c:pt>
                <c:pt idx="1">
                  <c:v>5.1724137931034484</c:v>
                </c:pt>
                <c:pt idx="2">
                  <c:v>8.6206896551724128</c:v>
                </c:pt>
                <c:pt idx="3">
                  <c:v>12.068965517241379</c:v>
                </c:pt>
                <c:pt idx="4">
                  <c:v>15.517241379310343</c:v>
                </c:pt>
                <c:pt idx="5">
                  <c:v>18.96551724137931</c:v>
                </c:pt>
                <c:pt idx="6">
                  <c:v>22.413793103448278</c:v>
                </c:pt>
                <c:pt idx="7">
                  <c:v>25.862068965517242</c:v>
                </c:pt>
                <c:pt idx="8">
                  <c:v>29.310344827586206</c:v>
                </c:pt>
                <c:pt idx="9">
                  <c:v>32.758620689655167</c:v>
                </c:pt>
                <c:pt idx="10">
                  <c:v>36.206896551724135</c:v>
                </c:pt>
                <c:pt idx="11">
                  <c:v>39.655172413793103</c:v>
                </c:pt>
                <c:pt idx="12">
                  <c:v>43.103448275862071</c:v>
                </c:pt>
                <c:pt idx="13">
                  <c:v>46.551724137931032</c:v>
                </c:pt>
                <c:pt idx="14">
                  <c:v>50</c:v>
                </c:pt>
                <c:pt idx="15">
                  <c:v>53.448275862068961</c:v>
                </c:pt>
                <c:pt idx="16">
                  <c:v>56.896551724137929</c:v>
                </c:pt>
                <c:pt idx="17">
                  <c:v>60.344827586206897</c:v>
                </c:pt>
                <c:pt idx="18">
                  <c:v>63.793103448275858</c:v>
                </c:pt>
                <c:pt idx="19">
                  <c:v>67.241379310344811</c:v>
                </c:pt>
                <c:pt idx="20">
                  <c:v>70.689655172413779</c:v>
                </c:pt>
                <c:pt idx="21">
                  <c:v>74.137931034482747</c:v>
                </c:pt>
                <c:pt idx="22">
                  <c:v>77.586206896551715</c:v>
                </c:pt>
                <c:pt idx="23">
                  <c:v>81.034482758620683</c:v>
                </c:pt>
                <c:pt idx="24">
                  <c:v>84.482758620689651</c:v>
                </c:pt>
                <c:pt idx="25">
                  <c:v>87.931034482758605</c:v>
                </c:pt>
                <c:pt idx="26">
                  <c:v>91.379310344827573</c:v>
                </c:pt>
                <c:pt idx="27">
                  <c:v>94.827586206896541</c:v>
                </c:pt>
                <c:pt idx="28">
                  <c:v>98.275862068965509</c:v>
                </c:pt>
              </c:numCache>
            </c:numRef>
          </c:xVal>
          <c:yVal>
            <c:numRef>
              <c:f>'Regression linéaire'!$L$61:$L$89</c:f>
              <c:numCache>
                <c:formatCode>General</c:formatCode>
                <c:ptCount val="29"/>
                <c:pt idx="0">
                  <c:v>293</c:v>
                </c:pt>
                <c:pt idx="1">
                  <c:v>348</c:v>
                </c:pt>
                <c:pt idx="2">
                  <c:v>366</c:v>
                </c:pt>
                <c:pt idx="3">
                  <c:v>401</c:v>
                </c:pt>
                <c:pt idx="4">
                  <c:v>414</c:v>
                </c:pt>
                <c:pt idx="5">
                  <c:v>687</c:v>
                </c:pt>
                <c:pt idx="6">
                  <c:v>717</c:v>
                </c:pt>
                <c:pt idx="7">
                  <c:v>755</c:v>
                </c:pt>
                <c:pt idx="8">
                  <c:v>922</c:v>
                </c:pt>
                <c:pt idx="9">
                  <c:v>1117</c:v>
                </c:pt>
                <c:pt idx="10">
                  <c:v>1219</c:v>
                </c:pt>
                <c:pt idx="11">
                  <c:v>1260</c:v>
                </c:pt>
                <c:pt idx="12">
                  <c:v>1337</c:v>
                </c:pt>
                <c:pt idx="13">
                  <c:v>1357</c:v>
                </c:pt>
                <c:pt idx="14">
                  <c:v>1463</c:v>
                </c:pt>
                <c:pt idx="15">
                  <c:v>1487</c:v>
                </c:pt>
                <c:pt idx="16">
                  <c:v>1670</c:v>
                </c:pt>
                <c:pt idx="17">
                  <c:v>1733</c:v>
                </c:pt>
                <c:pt idx="18">
                  <c:v>1734</c:v>
                </c:pt>
                <c:pt idx="19">
                  <c:v>1771</c:v>
                </c:pt>
                <c:pt idx="20">
                  <c:v>1939</c:v>
                </c:pt>
                <c:pt idx="21">
                  <c:v>1983</c:v>
                </c:pt>
                <c:pt idx="22">
                  <c:v>2134</c:v>
                </c:pt>
                <c:pt idx="23">
                  <c:v>2394</c:v>
                </c:pt>
                <c:pt idx="24">
                  <c:v>2874</c:v>
                </c:pt>
                <c:pt idx="25">
                  <c:v>3089</c:v>
                </c:pt>
                <c:pt idx="26">
                  <c:v>3151</c:v>
                </c:pt>
                <c:pt idx="27">
                  <c:v>3208</c:v>
                </c:pt>
                <c:pt idx="28">
                  <c:v>3210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34-4AC0-97AD-319ABECAF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698031"/>
        <c:axId val="321693711"/>
      </c:scatterChart>
      <c:valAx>
        <c:axId val="3216980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Centile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1693711"/>
        <c:crosses val="autoZero"/>
        <c:crossBetween val="midCat"/>
      </c:valAx>
      <c:valAx>
        <c:axId val="3216937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1698031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4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212725</xdr:colOff>
      <xdr:row>2</xdr:row>
      <xdr:rowOff>22225</xdr:rowOff>
    </xdr:from>
    <xdr:to>
      <xdr:col>5</xdr:col>
      <xdr:colOff>419100</xdr:colOff>
      <xdr:row>10</xdr:row>
      <xdr:rowOff>177800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184150</xdr:colOff>
      <xdr:row>15</xdr:row>
      <xdr:rowOff>120650</xdr:rowOff>
    </xdr:from>
    <xdr:to>
      <xdr:col>6</xdr:col>
      <xdr:colOff>1574800</xdr:colOff>
      <xdr:row>24</xdr:row>
      <xdr:rowOff>31750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152400</xdr:colOff>
      <xdr:row>29</xdr:row>
      <xdr:rowOff>0</xdr:rowOff>
    </xdr:from>
    <xdr:to>
      <xdr:col>6</xdr:col>
      <xdr:colOff>1568450</xdr:colOff>
      <xdr:row>39</xdr:row>
      <xdr:rowOff>44450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133350</xdr:colOff>
      <xdr:row>43</xdr:row>
      <xdr:rowOff>82549</xdr:rowOff>
    </xdr:from>
    <xdr:to>
      <xdr:col>6</xdr:col>
      <xdr:colOff>698500</xdr:colOff>
      <xdr:row>52</xdr:row>
      <xdr:rowOff>171450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1162957</xdr:colOff>
      <xdr:row>22</xdr:row>
      <xdr:rowOff>58965</xdr:rowOff>
    </xdr:from>
    <xdr:to>
      <xdr:col>9</xdr:col>
      <xdr:colOff>244927</xdr:colOff>
      <xdr:row>28</xdr:row>
      <xdr:rowOff>154214</xdr:rowOff>
    </xdr:to>
    <xdr:sp macro="[0]!MAJ_Graphique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8147957" y="4150179"/>
          <a:ext cx="2148113" cy="121103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Mise à</a:t>
          </a:r>
          <a:r>
            <a:rPr lang="fr-FR" sz="1100" baseline="0"/>
            <a:t> jour</a:t>
          </a:r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520700</xdr:colOff>
      <xdr:row>4</xdr:row>
      <xdr:rowOff>165100</xdr:rowOff>
    </xdr:from>
    <xdr:to>
      <xdr:col>12</xdr:col>
      <xdr:colOff>520700</xdr:colOff>
      <xdr:row>19</xdr:row>
      <xdr:rowOff>146050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20</xdr:row>
          <xdr:rowOff>31750</xdr:rowOff>
        </xdr:from>
        <xdr:to>
          <xdr:col>12</xdr:col>
          <xdr:colOff>406400</xdr:colOff>
          <xdr:row>24</xdr:row>
          <xdr:rowOff>165100</xdr:rowOff>
        </xdr:to>
        <xdr:sp macro="" textlink="">
          <xdr:nvSpPr>
            <xdr:cNvPr id="7169" name="Text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6350</xdr:colOff>
          <xdr:row>5</xdr:row>
          <xdr:rowOff>146050</xdr:rowOff>
        </xdr:from>
        <xdr:to>
          <xdr:col>15</xdr:col>
          <xdr:colOff>120650</xdr:colOff>
          <xdr:row>15</xdr:row>
          <xdr:rowOff>146050</xdr:rowOff>
        </xdr:to>
        <xdr:sp macro="" textlink="">
          <xdr:nvSpPr>
            <xdr:cNvPr id="9217" name="TextBox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44450</xdr:colOff>
          <xdr:row>5</xdr:row>
          <xdr:rowOff>158750</xdr:rowOff>
        </xdr:from>
        <xdr:to>
          <xdr:col>19</xdr:col>
          <xdr:colOff>622300</xdr:colOff>
          <xdr:row>15</xdr:row>
          <xdr:rowOff>152400</xdr:rowOff>
        </xdr:to>
        <xdr:sp macro="" textlink="">
          <xdr:nvSpPr>
            <xdr:cNvPr id="9218" name="TextBox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5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114300</xdr:colOff>
      <xdr:row>1</xdr:row>
      <xdr:rowOff>107950</xdr:rowOff>
    </xdr:from>
    <xdr:to>
      <xdr:col>14</xdr:col>
      <xdr:colOff>127000</xdr:colOff>
      <xdr:row>21</xdr:row>
      <xdr:rowOff>171450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298450</xdr:colOff>
      <xdr:row>0</xdr:row>
      <xdr:rowOff>76200</xdr:rowOff>
    </xdr:from>
    <xdr:to>
      <xdr:col>10</xdr:col>
      <xdr:colOff>457200</xdr:colOff>
      <xdr:row>17</xdr:row>
      <xdr:rowOff>133350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576035</xdr:colOff>
      <xdr:row>16</xdr:row>
      <xdr:rowOff>84364</xdr:rowOff>
    </xdr:from>
    <xdr:to>
      <xdr:col>14</xdr:col>
      <xdr:colOff>576035</xdr:colOff>
      <xdr:row>31</xdr:row>
      <xdr:rowOff>106135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52151E80-408B-55BE-F906-D4C775DA21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131535</xdr:colOff>
      <xdr:row>45</xdr:row>
      <xdr:rowOff>84363</xdr:rowOff>
    </xdr:from>
    <xdr:to>
      <xdr:col>29</xdr:col>
      <xdr:colOff>476250</xdr:colOff>
      <xdr:row>55</xdr:row>
      <xdr:rowOff>69849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94C1F5AF-CE61-B1BE-FA8F-582632D980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521607</xdr:colOff>
      <xdr:row>58</xdr:row>
      <xdr:rowOff>81643</xdr:rowOff>
    </xdr:from>
    <xdr:to>
      <xdr:col>21</xdr:col>
      <xdr:colOff>521607</xdr:colOff>
      <xdr:row>68</xdr:row>
      <xdr:rowOff>87993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A7FD9781-41AE-296C-EC01-EDCC470B17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648607</xdr:colOff>
      <xdr:row>46</xdr:row>
      <xdr:rowOff>9070</xdr:rowOff>
    </xdr:from>
    <xdr:to>
      <xdr:col>21</xdr:col>
      <xdr:colOff>648607</xdr:colOff>
      <xdr:row>56</xdr:row>
      <xdr:rowOff>6349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01951FAB-0C73-2ED4-5B19-77A38867CD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508000</xdr:colOff>
          <xdr:row>1</xdr:row>
          <xdr:rowOff>69850</xdr:rowOff>
        </xdr:from>
        <xdr:to>
          <xdr:col>10</xdr:col>
          <xdr:colOff>196850</xdr:colOff>
          <xdr:row>8</xdr:row>
          <xdr:rowOff>127000</xdr:rowOff>
        </xdr:to>
        <xdr:sp macro="" textlink="">
          <xdr:nvSpPr>
            <xdr:cNvPr id="6145" name="TextBox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ptiste" refreshedDate="45500.626514583331" createdVersion="8" refreshedVersion="8" minRefreshableVersion="3" recordCount="307" xr:uid="{12622423-BDB0-43CC-885B-302681F87424}">
  <cacheSource type="worksheet">
    <worksheetSource ref="A1:L1048576" sheet="Data"/>
  </cacheSource>
  <cacheFields count="14">
    <cacheField name="Date" numFmtId="14">
      <sharedItems containsNonDate="0" containsDate="1" containsString="0" containsBlank="1" minDate="2022-01-01T00:00:00" maxDate="2022-06-02T00:00:00" count="7">
        <d v="2022-02-01T00:00:00"/>
        <d v="2022-03-01T00:00:00"/>
        <d v="2022-04-01T00:00:00"/>
        <d v="2022-05-01T00:00:00"/>
        <d v="2022-06-01T00:00:00"/>
        <d v="2022-01-01T00:00:00"/>
        <m/>
      </sharedItems>
      <fieldGroup par="13"/>
    </cacheField>
    <cacheField name="Référence" numFmtId="0">
      <sharedItems containsString="0" containsBlank="1" containsNumber="1" containsInteger="1" minValue="1109" maxValue="2877" count="56">
        <n v="1930"/>
        <n v="1895"/>
        <n v="1282"/>
        <n v="1451"/>
        <n v="1884"/>
        <n v="1214"/>
        <n v="1323"/>
        <n v="1320"/>
        <n v="1894"/>
        <n v="1351"/>
        <n v="1425"/>
        <n v="1305"/>
        <n v="1766"/>
        <n v="1109"/>
        <n v="1489"/>
        <n v="1470"/>
        <n v="1277"/>
        <n v="1122"/>
        <n v="1990"/>
        <n v="1317"/>
        <n v="1874"/>
        <n v="1738"/>
        <n v="1321"/>
        <n v="1129"/>
        <n v="1959"/>
        <n v="1759"/>
        <n v="1337"/>
        <n v="1239"/>
        <n v="1444"/>
        <n v="1170"/>
        <n v="1752"/>
        <n v="1827"/>
        <n v="1378"/>
        <n v="1315"/>
        <n v="1582"/>
        <n v="1217"/>
        <n v="1890"/>
        <n v="1437"/>
        <n v="1785"/>
        <n v="1132"/>
        <n v="1119"/>
        <n v="1168"/>
        <n v="1116"/>
        <n v="2758"/>
        <n v="2130"/>
        <n v="2558"/>
        <n v="2550"/>
        <n v="2453"/>
        <n v="2651"/>
        <n v="2487"/>
        <n v="2220"/>
        <n v="2530"/>
        <n v="2423"/>
        <n v="2700"/>
        <n v="2877"/>
        <m/>
      </sharedItems>
    </cacheField>
    <cacheField name="Poids" numFmtId="0">
      <sharedItems containsString="0" containsBlank="1" containsNumber="1" containsInteger="1" minValue="250" maxValue="1000"/>
    </cacheField>
    <cacheField name="Désignation" numFmtId="0">
      <sharedItems containsBlank="1"/>
    </cacheField>
    <cacheField name="GLUTEN FREE" numFmtId="0">
      <sharedItems containsBlank="1" count="2">
        <m/>
        <s v="GLUTEN FREE"/>
      </sharedItems>
    </cacheField>
    <cacheField name="BIO" numFmtId="0">
      <sharedItems containsBlank="1" count="2">
        <m/>
        <s v="BIO"/>
      </sharedItems>
    </cacheField>
    <cacheField name="Code Marque" numFmtId="0">
      <sharedItems containsBlank="1" count="3">
        <s v="BRE"/>
        <s v="LECCE"/>
        <m/>
      </sharedItems>
    </cacheField>
    <cacheField name="TVA" numFmtId="10">
      <sharedItems containsString="0" containsBlank="1" containsNumber="1" minValue="0.05" maxValue="0.05"/>
    </cacheField>
    <cacheField name="Prix de vente" numFmtId="0">
      <sharedItems containsString="0" containsBlank="1" containsNumber="1" minValue="0.92" maxValue="2.99"/>
    </cacheField>
    <cacheField name="Quantités mois" numFmtId="0">
      <sharedItems containsString="0" containsBlank="1" containsNumber="1" containsInteger="1" minValue="4" maxValue="7097"/>
    </cacheField>
    <cacheField name="CA" numFmtId="165">
      <sharedItems containsString="0" containsBlank="1" containsNumber="1" minValue="7.16" maxValue="12774.6"/>
    </cacheField>
    <cacheField name="Fournisseur" numFmtId="0">
      <sharedItems containsBlank="1"/>
    </cacheField>
    <cacheField name="Jours (Date)" numFmtId="0" databaseField="0">
      <fieldGroup base="0">
        <rangePr groupBy="days" startDate="2022-01-01T00:00:00" endDate="2022-06-02T00:00:00"/>
        <groupItems count="368">
          <s v="&lt;01/01/2022"/>
          <s v="01-janv"/>
          <s v="02-janv"/>
          <s v="03-janv"/>
          <s v="04-janv"/>
          <s v="05-janv"/>
          <s v="06-janv"/>
          <s v="07-janv"/>
          <s v="08-janv"/>
          <s v="09-janv"/>
          <s v="10-janv"/>
          <s v="11-janv"/>
          <s v="12-janv"/>
          <s v="13-janv"/>
          <s v="14-janv"/>
          <s v="15-janv"/>
          <s v="16-janv"/>
          <s v="17-janv"/>
          <s v="18-janv"/>
          <s v="19-janv"/>
          <s v="20-janv"/>
          <s v="21-janv"/>
          <s v="22-janv"/>
          <s v="23-janv"/>
          <s v="24-janv"/>
          <s v="25-janv"/>
          <s v="26-janv"/>
          <s v="27-janv"/>
          <s v="28-janv"/>
          <s v="29-janv"/>
          <s v="30-janv"/>
          <s v="31-janv"/>
          <s v="01-févr"/>
          <s v="02-févr"/>
          <s v="03-févr"/>
          <s v="04-févr"/>
          <s v="05-févr"/>
          <s v="06-févr"/>
          <s v="07-févr"/>
          <s v="08-févr"/>
          <s v="09-févr"/>
          <s v="10-févr"/>
          <s v="11-févr"/>
          <s v="12-févr"/>
          <s v="13-févr"/>
          <s v="14-févr"/>
          <s v="15-févr"/>
          <s v="16-févr"/>
          <s v="17-févr"/>
          <s v="18-févr"/>
          <s v="19-févr"/>
          <s v="20-févr"/>
          <s v="21-févr"/>
          <s v="22-févr"/>
          <s v="23-févr"/>
          <s v="24-févr"/>
          <s v="25-févr"/>
          <s v="26-févr"/>
          <s v="27-févr"/>
          <s v="28-févr"/>
          <s v="29-févr"/>
          <s v="01-mars"/>
          <s v="02-mars"/>
          <s v="03-mars"/>
          <s v="04-mars"/>
          <s v="05-mars"/>
          <s v="06-mars"/>
          <s v="07-mars"/>
          <s v="08-mars"/>
          <s v="09-mars"/>
          <s v="10-mars"/>
          <s v="11-mars"/>
          <s v="12-mars"/>
          <s v="13-mars"/>
          <s v="14-mars"/>
          <s v="15-mars"/>
          <s v="16-mars"/>
          <s v="17-mars"/>
          <s v="18-mars"/>
          <s v="19-mars"/>
          <s v="20-mars"/>
          <s v="21-mars"/>
          <s v="22-mars"/>
          <s v="23-mars"/>
          <s v="24-mars"/>
          <s v="25-mars"/>
          <s v="26-mars"/>
          <s v="27-mars"/>
          <s v="28-mars"/>
          <s v="29-mars"/>
          <s v="30-mars"/>
          <s v="31-mars"/>
          <s v="01-avr"/>
          <s v="02-avr"/>
          <s v="03-avr"/>
          <s v="04-avr"/>
          <s v="05-avr"/>
          <s v="06-avr"/>
          <s v="07-avr"/>
          <s v="08-avr"/>
          <s v="09-avr"/>
          <s v="10-avr"/>
          <s v="11-avr"/>
          <s v="12-avr"/>
          <s v="13-avr"/>
          <s v="14-avr"/>
          <s v="15-avr"/>
          <s v="16-avr"/>
          <s v="17-avr"/>
          <s v="18-avr"/>
          <s v="19-avr"/>
          <s v="20-avr"/>
          <s v="21-avr"/>
          <s v="22-avr"/>
          <s v="23-avr"/>
          <s v="24-avr"/>
          <s v="25-avr"/>
          <s v="26-avr"/>
          <s v="27-avr"/>
          <s v="28-avr"/>
          <s v="29-avr"/>
          <s v="30-avr"/>
          <s v="01-mai"/>
          <s v="02-mai"/>
          <s v="03-mai"/>
          <s v="04-mai"/>
          <s v="05-mai"/>
          <s v="06-mai"/>
          <s v="07-mai"/>
          <s v="08-mai"/>
          <s v="09-mai"/>
          <s v="10-mai"/>
          <s v="11-mai"/>
          <s v="12-mai"/>
          <s v="13-mai"/>
          <s v="14-mai"/>
          <s v="15-mai"/>
          <s v="16-mai"/>
          <s v="17-mai"/>
          <s v="18-mai"/>
          <s v="19-mai"/>
          <s v="20-mai"/>
          <s v="21-mai"/>
          <s v="22-mai"/>
          <s v="23-mai"/>
          <s v="24-mai"/>
          <s v="25-mai"/>
          <s v="26-mai"/>
          <s v="27-mai"/>
          <s v="28-mai"/>
          <s v="29-mai"/>
          <s v="30-mai"/>
          <s v="31-mai"/>
          <s v="01-juin"/>
          <s v="02-juin"/>
          <s v="03-juin"/>
          <s v="04-juin"/>
          <s v="05-juin"/>
          <s v="06-juin"/>
          <s v="07-juin"/>
          <s v="08-juin"/>
          <s v="09-juin"/>
          <s v="10-juin"/>
          <s v="11-juin"/>
          <s v="12-juin"/>
          <s v="13-juin"/>
          <s v="14-juin"/>
          <s v="15-juin"/>
          <s v="16-juin"/>
          <s v="17-juin"/>
          <s v="18-juin"/>
          <s v="19-juin"/>
          <s v="20-juin"/>
          <s v="21-juin"/>
          <s v="22-juin"/>
          <s v="23-juin"/>
          <s v="24-juin"/>
          <s v="25-juin"/>
          <s v="26-juin"/>
          <s v="27-juin"/>
          <s v="28-juin"/>
          <s v="29-juin"/>
          <s v="30-juin"/>
          <s v="01-juil"/>
          <s v="02-juil"/>
          <s v="03-juil"/>
          <s v="04-juil"/>
          <s v="05-juil"/>
          <s v="06-juil"/>
          <s v="07-juil"/>
          <s v="08-juil"/>
          <s v="09-juil"/>
          <s v="10-juil"/>
          <s v="11-juil"/>
          <s v="12-juil"/>
          <s v="13-juil"/>
          <s v="14-juil"/>
          <s v="15-juil"/>
          <s v="16-juil"/>
          <s v="17-juil"/>
          <s v="18-juil"/>
          <s v="19-juil"/>
          <s v="20-juil"/>
          <s v="21-juil"/>
          <s v="22-juil"/>
          <s v="23-juil"/>
          <s v="24-juil"/>
          <s v="25-juil"/>
          <s v="26-juil"/>
          <s v="27-juil"/>
          <s v="28-juil"/>
          <s v="29-juil"/>
          <s v="30-juil"/>
          <s v="31-juil"/>
          <s v="01-août"/>
          <s v="02-août"/>
          <s v="03-août"/>
          <s v="04-août"/>
          <s v="05-août"/>
          <s v="06-août"/>
          <s v="07-août"/>
          <s v="08-août"/>
          <s v="09-août"/>
          <s v="10-août"/>
          <s v="11-août"/>
          <s v="12-août"/>
          <s v="13-août"/>
          <s v="14-août"/>
          <s v="15-août"/>
          <s v="16-août"/>
          <s v="17-août"/>
          <s v="18-août"/>
          <s v="19-août"/>
          <s v="20-août"/>
          <s v="21-août"/>
          <s v="22-août"/>
          <s v="23-août"/>
          <s v="24-août"/>
          <s v="25-août"/>
          <s v="26-août"/>
          <s v="27-août"/>
          <s v="28-août"/>
          <s v="29-août"/>
          <s v="30-août"/>
          <s v="31-août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éc"/>
          <s v="02-déc"/>
          <s v="03-déc"/>
          <s v="04-déc"/>
          <s v="05-déc"/>
          <s v="06-déc"/>
          <s v="07-déc"/>
          <s v="08-déc"/>
          <s v="09-déc"/>
          <s v="10-déc"/>
          <s v="11-déc"/>
          <s v="12-déc"/>
          <s v="13-déc"/>
          <s v="14-déc"/>
          <s v="15-déc"/>
          <s v="16-déc"/>
          <s v="17-déc"/>
          <s v="18-déc"/>
          <s v="19-déc"/>
          <s v="20-déc"/>
          <s v="21-déc"/>
          <s v="22-déc"/>
          <s v="23-déc"/>
          <s v="24-déc"/>
          <s v="25-déc"/>
          <s v="26-déc"/>
          <s v="27-déc"/>
          <s v="28-déc"/>
          <s v="29-déc"/>
          <s v="30-déc"/>
          <s v="31-déc"/>
          <s v="&gt;02/06/2022"/>
        </groupItems>
      </fieldGroup>
    </cacheField>
    <cacheField name="Mois (Date)" numFmtId="0" databaseField="0">
      <fieldGroup base="0">
        <rangePr groupBy="months" startDate="2022-01-01T00:00:00" endDate="2022-06-02T00:00:00"/>
        <groupItems count="14">
          <s v="&lt;01/01/2022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2/06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7">
  <r>
    <x v="0"/>
    <x v="0"/>
    <n v="250"/>
    <s v="CANNELLONI"/>
    <x v="0"/>
    <x v="0"/>
    <x v="0"/>
    <n v="0.05"/>
    <n v="1.57"/>
    <n v="396"/>
    <n v="621.72"/>
    <s v="BRESCIA"/>
  </r>
  <r>
    <x v="0"/>
    <x v="1"/>
    <n v="500"/>
    <s v="CAPELLINI"/>
    <x v="0"/>
    <x v="0"/>
    <x v="0"/>
    <n v="0.05"/>
    <n v="1.24"/>
    <n v="3883"/>
    <n v="4814.92"/>
    <s v="BRESCIA"/>
  </r>
  <r>
    <x v="0"/>
    <x v="2"/>
    <n v="500"/>
    <s v="CASTELLAN"/>
    <x v="0"/>
    <x v="0"/>
    <x v="0"/>
    <n v="0.05"/>
    <n v="1.55"/>
    <n v="496"/>
    <n v="768.80000000000007"/>
    <s v="BRESCIA"/>
  </r>
  <r>
    <x v="0"/>
    <x v="3"/>
    <n v="500"/>
    <s v="CELLENTANI"/>
    <x v="0"/>
    <x v="0"/>
    <x v="0"/>
    <n v="0.05"/>
    <n v="1.61"/>
    <n v="455"/>
    <n v="732.55000000000007"/>
    <s v="BRESCIA"/>
  </r>
  <r>
    <x v="0"/>
    <x v="4"/>
    <n v="500"/>
    <s v="COQUILETTE"/>
    <x v="1"/>
    <x v="0"/>
    <x v="0"/>
    <n v="0.05"/>
    <n v="2.6"/>
    <n v="346"/>
    <n v="899.6"/>
    <s v="BRESCIA"/>
  </r>
  <r>
    <x v="0"/>
    <x v="5"/>
    <n v="500"/>
    <s v="COQUILETTE"/>
    <x v="0"/>
    <x v="0"/>
    <x v="0"/>
    <n v="0.05"/>
    <n v="1.04"/>
    <n v="3104"/>
    <n v="3228.1600000000003"/>
    <s v="BRESCIA"/>
  </r>
  <r>
    <x v="0"/>
    <x v="6"/>
    <n v="500"/>
    <s v="COQUILETTE"/>
    <x v="0"/>
    <x v="1"/>
    <x v="0"/>
    <n v="0.05"/>
    <n v="1.08"/>
    <n v="1130"/>
    <n v="1220.4000000000001"/>
    <s v="BRESCIA"/>
  </r>
  <r>
    <x v="0"/>
    <x v="7"/>
    <n v="1000"/>
    <s v="COQUILETTE"/>
    <x v="0"/>
    <x v="0"/>
    <x v="0"/>
    <n v="0.05"/>
    <n v="2"/>
    <n v="748"/>
    <n v="1496"/>
    <s v="BRESCIA"/>
  </r>
  <r>
    <x v="0"/>
    <x v="8"/>
    <n v="500"/>
    <s v="FARFALLE"/>
    <x v="0"/>
    <x v="0"/>
    <x v="0"/>
    <n v="0.05"/>
    <n v="1.17"/>
    <n v="1531"/>
    <n v="1791.27"/>
    <s v="BRESCIA"/>
  </r>
  <r>
    <x v="0"/>
    <x v="9"/>
    <n v="1000"/>
    <s v="FARFALLE"/>
    <x v="0"/>
    <x v="0"/>
    <x v="0"/>
    <n v="0.05"/>
    <n v="2.2000000000000002"/>
    <n v="579"/>
    <n v="1273.8000000000002"/>
    <s v="BRESCIA"/>
  </r>
  <r>
    <x v="0"/>
    <x v="10"/>
    <n v="500"/>
    <s v="FARFALLE"/>
    <x v="0"/>
    <x v="1"/>
    <x v="0"/>
    <n v="0.05"/>
    <n v="1.74"/>
    <n v="279"/>
    <n v="485.46"/>
    <s v="BRESCIA"/>
  </r>
  <r>
    <x v="0"/>
    <x v="11"/>
    <n v="500"/>
    <s v="FARFALLIN"/>
    <x v="0"/>
    <x v="0"/>
    <x v="0"/>
    <n v="0.05"/>
    <n v="1.44"/>
    <n v="310"/>
    <n v="446.4"/>
    <s v="BRESCIA"/>
  </r>
  <r>
    <x v="0"/>
    <x v="12"/>
    <n v="500"/>
    <s v="FUSILLI"/>
    <x v="0"/>
    <x v="0"/>
    <x v="0"/>
    <n v="0.05"/>
    <n v="1.49"/>
    <n v="1176"/>
    <n v="1752.24"/>
    <s v="BRESCIA"/>
  </r>
  <r>
    <x v="0"/>
    <x v="13"/>
    <n v="250"/>
    <s v="GARGANELLI"/>
    <x v="0"/>
    <x v="0"/>
    <x v="0"/>
    <n v="0.05"/>
    <n v="1.8"/>
    <n v="337"/>
    <n v="606.6"/>
    <s v="BRESCIA"/>
  </r>
  <r>
    <x v="0"/>
    <x v="14"/>
    <n v="500"/>
    <s v="GIRANDOL"/>
    <x v="0"/>
    <x v="0"/>
    <x v="0"/>
    <n v="0.05"/>
    <n v="1.04"/>
    <n v="954"/>
    <n v="992.16000000000008"/>
    <s v="BRESCIA"/>
  </r>
  <r>
    <x v="0"/>
    <x v="15"/>
    <n v="500"/>
    <s v="GNOCCHI"/>
    <x v="0"/>
    <x v="0"/>
    <x v="0"/>
    <n v="0.05"/>
    <n v="1.56"/>
    <n v="280"/>
    <n v="436.8"/>
    <s v="BRESCIA"/>
  </r>
  <r>
    <x v="0"/>
    <x v="16"/>
    <n v="500"/>
    <s v="GNOCHETTI"/>
    <x v="0"/>
    <x v="0"/>
    <x v="0"/>
    <n v="0.05"/>
    <n v="1.6"/>
    <n v="170"/>
    <n v="272"/>
    <s v="BRESCIA"/>
  </r>
  <r>
    <x v="0"/>
    <x v="17"/>
    <n v="500"/>
    <s v="LASAGNE"/>
    <x v="0"/>
    <x v="0"/>
    <x v="0"/>
    <n v="0.05"/>
    <n v="1.87"/>
    <n v="2055"/>
    <n v="3842.8500000000004"/>
    <s v="BRESCIA"/>
  </r>
  <r>
    <x v="0"/>
    <x v="18"/>
    <n v="500"/>
    <s v="LINGUIN"/>
    <x v="0"/>
    <x v="0"/>
    <x v="0"/>
    <n v="0.05"/>
    <n v="1.61"/>
    <n v="4121"/>
    <n v="6634.81"/>
    <s v="BRESCIA"/>
  </r>
  <r>
    <x v="0"/>
    <x v="19"/>
    <n v="500"/>
    <s v="MACARONI"/>
    <x v="0"/>
    <x v="0"/>
    <x v="0"/>
    <n v="0.05"/>
    <n v="1.24"/>
    <n v="772"/>
    <n v="957.28"/>
    <s v="BRESCIA"/>
  </r>
  <r>
    <x v="0"/>
    <x v="20"/>
    <n v="500"/>
    <s v="MINI FARFAL"/>
    <x v="0"/>
    <x v="0"/>
    <x v="0"/>
    <n v="0.05"/>
    <n v="1.29"/>
    <n v="1262"/>
    <n v="1627.98"/>
    <s v="BRESCIA"/>
  </r>
  <r>
    <x v="0"/>
    <x v="21"/>
    <n v="500"/>
    <s v="MINI PIPE RIGATE"/>
    <x v="0"/>
    <x v="0"/>
    <x v="0"/>
    <n v="0.05"/>
    <n v="1.32"/>
    <n v="285"/>
    <n v="376.20000000000005"/>
    <s v="BRESCIA"/>
  </r>
  <r>
    <x v="0"/>
    <x v="22"/>
    <n v="500"/>
    <s v="FARFALLE"/>
    <x v="0"/>
    <x v="1"/>
    <x v="0"/>
    <n v="0.05"/>
    <n v="1.57"/>
    <n v="235"/>
    <n v="368.95"/>
    <s v="BRESCIA"/>
  </r>
  <r>
    <x v="0"/>
    <x v="23"/>
    <n v="500"/>
    <s v="PEN RIGAT PICCO"/>
    <x v="0"/>
    <x v="0"/>
    <x v="0"/>
    <n v="0.05"/>
    <n v="1.3"/>
    <n v="1450"/>
    <n v="1885"/>
    <s v="BRESCIA"/>
  </r>
  <r>
    <x v="0"/>
    <x v="24"/>
    <n v="500"/>
    <s v="PENNE RIGATE"/>
    <x v="0"/>
    <x v="1"/>
    <x v="0"/>
    <n v="0.05"/>
    <n v="1.53"/>
    <n v="712"/>
    <n v="1089.3600000000001"/>
    <s v="BRESCIA"/>
  </r>
  <r>
    <x v="0"/>
    <x v="25"/>
    <n v="1000"/>
    <s v="PENNE RIGATE"/>
    <x v="0"/>
    <x v="0"/>
    <x v="0"/>
    <n v="0.05"/>
    <n v="1.9"/>
    <n v="2567"/>
    <n v="4877.3"/>
    <s v="BRESCIA"/>
  </r>
  <r>
    <x v="0"/>
    <x v="26"/>
    <n v="500"/>
    <s v="PENNE RIGATE"/>
    <x v="1"/>
    <x v="0"/>
    <x v="0"/>
    <n v="0.05"/>
    <n v="2.67"/>
    <n v="580"/>
    <n v="1548.6"/>
    <s v="BRESCIA"/>
  </r>
  <r>
    <x v="0"/>
    <x v="27"/>
    <n v="500"/>
    <s v="PENNE RIGATE"/>
    <x v="0"/>
    <x v="0"/>
    <x v="0"/>
    <n v="0.05"/>
    <n v="1.2"/>
    <n v="2412"/>
    <n v="2894.4"/>
    <s v="BRESCIA"/>
  </r>
  <r>
    <x v="0"/>
    <x v="28"/>
    <n v="500"/>
    <s v="PIPERIGAT"/>
    <x v="0"/>
    <x v="0"/>
    <x v="0"/>
    <n v="0.05"/>
    <n v="1.32"/>
    <n v="833"/>
    <n v="1099.56"/>
    <s v="BRESCIA"/>
  </r>
  <r>
    <x v="0"/>
    <x v="29"/>
    <n v="1000"/>
    <s v="SPAGHETTI"/>
    <x v="0"/>
    <x v="0"/>
    <x v="0"/>
    <n v="0.05"/>
    <n v="1.76"/>
    <n v="2544"/>
    <n v="4477.4399999999996"/>
    <s v="BRESCIA"/>
  </r>
  <r>
    <x v="0"/>
    <x v="30"/>
    <n v="500"/>
    <s v="SPAGHETTI"/>
    <x v="0"/>
    <x v="0"/>
    <x v="0"/>
    <n v="0.05"/>
    <n v="0.94"/>
    <n v="3974"/>
    <n v="3735.56"/>
    <s v="BRESCIA"/>
  </r>
  <r>
    <x v="0"/>
    <x v="31"/>
    <n v="500"/>
    <s v="SPAGHETTI"/>
    <x v="1"/>
    <x v="0"/>
    <x v="0"/>
    <n v="0.05"/>
    <n v="2.59"/>
    <n v="1310"/>
    <n v="3392.8999999999996"/>
    <s v="BRESCIA"/>
  </r>
  <r>
    <x v="0"/>
    <x v="32"/>
    <n v="500"/>
    <s v="SPAGHETTI"/>
    <x v="0"/>
    <x v="1"/>
    <x v="0"/>
    <n v="0.05"/>
    <n v="1.51"/>
    <n v="255"/>
    <n v="385.05"/>
    <s v="BRESCIA"/>
  </r>
  <r>
    <x v="0"/>
    <x v="33"/>
    <n v="500"/>
    <s v="SPAGHETTINI"/>
    <x v="0"/>
    <x v="0"/>
    <x v="0"/>
    <n v="0.05"/>
    <n v="1.46"/>
    <n v="654"/>
    <n v="954.84"/>
    <s v="BRESCIA"/>
  </r>
  <r>
    <x v="0"/>
    <x v="34"/>
    <n v="500"/>
    <s v="SPAGHETTONI"/>
    <x v="0"/>
    <x v="0"/>
    <x v="0"/>
    <n v="0.05"/>
    <n v="1.06"/>
    <n v="2109"/>
    <n v="2235.54"/>
    <s v="BRESCIA"/>
  </r>
  <r>
    <x v="0"/>
    <x v="35"/>
    <n v="500"/>
    <s v="TAGLIATELLE"/>
    <x v="0"/>
    <x v="0"/>
    <x v="0"/>
    <n v="0.05"/>
    <n v="1.95"/>
    <n v="2089"/>
    <n v="4073.5499999999997"/>
    <s v="BRESCIA"/>
  </r>
  <r>
    <x v="0"/>
    <x v="36"/>
    <n v="500"/>
    <s v="TAGLIATELLE"/>
    <x v="0"/>
    <x v="1"/>
    <x v="0"/>
    <n v="0.05"/>
    <n v="1.58"/>
    <n v="1543"/>
    <n v="2437.94"/>
    <s v="BRESCIA"/>
  </r>
  <r>
    <x v="0"/>
    <x v="37"/>
    <n v="1000"/>
    <s v="TORSADES"/>
    <x v="0"/>
    <x v="0"/>
    <x v="0"/>
    <n v="0.05"/>
    <n v="2.1800000000000002"/>
    <n v="754"/>
    <n v="1643.72"/>
    <s v="BRESCIA"/>
  </r>
  <r>
    <x v="0"/>
    <x v="37"/>
    <n v="1000"/>
    <s v="TORSADES"/>
    <x v="0"/>
    <x v="0"/>
    <x v="0"/>
    <n v="0.05"/>
    <n v="2.1800000000000002"/>
    <n v="683"/>
    <n v="1488.94"/>
    <s v="BRESCIA"/>
  </r>
  <r>
    <x v="0"/>
    <x v="38"/>
    <n v="500"/>
    <s v="TORSADES"/>
    <x v="0"/>
    <x v="1"/>
    <x v="0"/>
    <n v="0.05"/>
    <n v="1.48"/>
    <n v="1193"/>
    <n v="1765.6399999999999"/>
    <s v="BRESCIA"/>
  </r>
  <r>
    <x v="0"/>
    <x v="39"/>
    <n v="500"/>
    <s v="TORTIGLIONI"/>
    <x v="0"/>
    <x v="0"/>
    <x v="0"/>
    <n v="0.05"/>
    <n v="1.61"/>
    <n v="491"/>
    <n v="790.5100000000001"/>
    <s v="BRESCIA"/>
  </r>
  <r>
    <x v="0"/>
    <x v="40"/>
    <n v="500"/>
    <s v="TROFIE"/>
    <x v="0"/>
    <x v="0"/>
    <x v="0"/>
    <n v="0.05"/>
    <n v="1.47"/>
    <n v="617"/>
    <n v="906.99"/>
    <s v="BRESCIA"/>
  </r>
  <r>
    <x v="0"/>
    <x v="41"/>
    <n v="500"/>
    <s v="VERMICELLE"/>
    <x v="0"/>
    <x v="0"/>
    <x v="0"/>
    <n v="0.05"/>
    <n v="1.39"/>
    <n v="540"/>
    <n v="750.59999999999991"/>
    <s v="BRESCIA"/>
  </r>
  <r>
    <x v="1"/>
    <x v="0"/>
    <n v="250"/>
    <s v="CANNELLONI"/>
    <x v="0"/>
    <x v="0"/>
    <x v="0"/>
    <n v="0.05"/>
    <n v="1.48"/>
    <n v="307"/>
    <n v="454.36"/>
    <s v="BRESCIA"/>
  </r>
  <r>
    <x v="1"/>
    <x v="1"/>
    <n v="500"/>
    <s v="CAPELLINI"/>
    <x v="0"/>
    <x v="0"/>
    <x v="0"/>
    <n v="0.05"/>
    <n v="1.1399999999999999"/>
    <n v="4320"/>
    <n v="4924.7999999999993"/>
    <s v="BRESCIA"/>
  </r>
  <r>
    <x v="1"/>
    <x v="2"/>
    <n v="500"/>
    <s v="CASTELLAN"/>
    <x v="0"/>
    <x v="0"/>
    <x v="0"/>
    <n v="0.05"/>
    <n v="1.58"/>
    <n v="1537"/>
    <n v="2428.46"/>
    <s v="BRESCIA"/>
  </r>
  <r>
    <x v="1"/>
    <x v="3"/>
    <n v="500"/>
    <s v="CELLENTANI"/>
    <x v="0"/>
    <x v="0"/>
    <x v="0"/>
    <n v="0.05"/>
    <n v="1.55"/>
    <n v="224"/>
    <n v="347.2"/>
    <s v="BRESCIA"/>
  </r>
  <r>
    <x v="1"/>
    <x v="4"/>
    <n v="500"/>
    <s v="COQUILETTE"/>
    <x v="1"/>
    <x v="0"/>
    <x v="0"/>
    <n v="0.05"/>
    <n v="2.69"/>
    <n v="248"/>
    <n v="667.12"/>
    <s v="BRESCIA"/>
  </r>
  <r>
    <x v="1"/>
    <x v="5"/>
    <n v="500"/>
    <s v="COQUILETTE"/>
    <x v="0"/>
    <x v="0"/>
    <x v="0"/>
    <n v="0.05"/>
    <n v="1.08"/>
    <n v="2143"/>
    <n v="2314.44"/>
    <s v="BRESCIA"/>
  </r>
  <r>
    <x v="1"/>
    <x v="6"/>
    <n v="500"/>
    <s v="COQUILETTE"/>
    <x v="0"/>
    <x v="1"/>
    <x v="0"/>
    <n v="0.05"/>
    <n v="1.1499999999999999"/>
    <n v="788"/>
    <n v="906.19999999999993"/>
    <s v="BRESCIA"/>
  </r>
  <r>
    <x v="1"/>
    <x v="7"/>
    <n v="1000"/>
    <s v="COQUILETTE"/>
    <x v="0"/>
    <x v="0"/>
    <x v="0"/>
    <n v="0.05"/>
    <n v="1.94"/>
    <n v="2006"/>
    <n v="3891.64"/>
    <s v="BRESCIA"/>
  </r>
  <r>
    <x v="1"/>
    <x v="8"/>
    <n v="500"/>
    <s v="FARFALLE"/>
    <x v="0"/>
    <x v="0"/>
    <x v="0"/>
    <n v="0.05"/>
    <n v="1.19"/>
    <n v="2279"/>
    <n v="2712.0099999999998"/>
    <s v="BRESCIA"/>
  </r>
  <r>
    <x v="1"/>
    <x v="9"/>
    <n v="1000"/>
    <s v="FARFALLE"/>
    <x v="0"/>
    <x v="0"/>
    <x v="0"/>
    <n v="0.05"/>
    <n v="2.2799999999999998"/>
    <n v="1112"/>
    <n v="2535.3599999999997"/>
    <s v="BRESCIA"/>
  </r>
  <r>
    <x v="1"/>
    <x v="10"/>
    <n v="500"/>
    <s v="FARFALLE"/>
    <x v="0"/>
    <x v="1"/>
    <x v="0"/>
    <n v="0.05"/>
    <n v="1.71"/>
    <n v="297"/>
    <n v="507.87"/>
    <s v="BRESCIA"/>
  </r>
  <r>
    <x v="1"/>
    <x v="11"/>
    <n v="500"/>
    <s v="FARFALLIN"/>
    <x v="0"/>
    <x v="0"/>
    <x v="0"/>
    <n v="0.05"/>
    <n v="1.41"/>
    <n v="620"/>
    <n v="874.19999999999993"/>
    <s v="BRESCIA"/>
  </r>
  <r>
    <x v="1"/>
    <x v="12"/>
    <n v="500"/>
    <s v="FUSILLI"/>
    <x v="0"/>
    <x v="0"/>
    <x v="0"/>
    <n v="0.05"/>
    <n v="1.52"/>
    <n v="1019"/>
    <n v="1548.88"/>
    <s v="BRESCIA"/>
  </r>
  <r>
    <x v="1"/>
    <x v="13"/>
    <n v="250"/>
    <s v="GARGANELLI"/>
    <x v="0"/>
    <x v="0"/>
    <x v="0"/>
    <n v="0.05"/>
    <n v="1.76"/>
    <n v="293"/>
    <n v="515.67999999999995"/>
    <s v="BRESCIA"/>
  </r>
  <r>
    <x v="1"/>
    <x v="14"/>
    <n v="500"/>
    <s v="GIRANDOL"/>
    <x v="0"/>
    <x v="0"/>
    <x v="0"/>
    <n v="0.05"/>
    <n v="1.05"/>
    <n v="1058"/>
    <n v="1110.9000000000001"/>
    <s v="BRESCIA"/>
  </r>
  <r>
    <x v="1"/>
    <x v="15"/>
    <n v="500"/>
    <s v="GNOCCHI"/>
    <x v="0"/>
    <x v="0"/>
    <x v="0"/>
    <n v="0.05"/>
    <n v="1.5"/>
    <n v="333"/>
    <n v="499.5"/>
    <s v="BRESCIA"/>
  </r>
  <r>
    <x v="1"/>
    <x v="16"/>
    <n v="500"/>
    <s v="GNOCHETTI"/>
    <x v="0"/>
    <x v="0"/>
    <x v="0"/>
    <n v="0.05"/>
    <n v="1.55"/>
    <n v="252"/>
    <n v="390.6"/>
    <s v="BRESCIA"/>
  </r>
  <r>
    <x v="1"/>
    <x v="17"/>
    <n v="500"/>
    <s v="LASAGNE"/>
    <x v="0"/>
    <x v="0"/>
    <x v="0"/>
    <n v="0.05"/>
    <n v="1.92"/>
    <n v="2502"/>
    <n v="4803.84"/>
    <s v="BRESCIA"/>
  </r>
  <r>
    <x v="1"/>
    <x v="18"/>
    <n v="500"/>
    <s v="LINGUIN"/>
    <x v="0"/>
    <x v="0"/>
    <x v="0"/>
    <n v="0.05"/>
    <n v="1.61"/>
    <n v="4947"/>
    <n v="7964.67"/>
    <s v="BRESCIA"/>
  </r>
  <r>
    <x v="1"/>
    <x v="19"/>
    <n v="500"/>
    <s v="MACARONI"/>
    <x v="0"/>
    <x v="0"/>
    <x v="0"/>
    <n v="0.05"/>
    <n v="1.2"/>
    <n v="2189"/>
    <n v="2626.7999999999997"/>
    <s v="BRESCIA"/>
  </r>
  <r>
    <x v="1"/>
    <x v="20"/>
    <n v="500"/>
    <s v="MINI FARFAL"/>
    <x v="0"/>
    <x v="0"/>
    <x v="0"/>
    <n v="0.05"/>
    <n v="1.33"/>
    <n v="1248"/>
    <n v="1659.8400000000001"/>
    <s v="BRESCIA"/>
  </r>
  <r>
    <x v="1"/>
    <x v="21"/>
    <n v="500"/>
    <s v="MINI PIPE RIGATE"/>
    <x v="0"/>
    <x v="0"/>
    <x v="0"/>
    <n v="0.05"/>
    <n v="1.27"/>
    <n v="434"/>
    <n v="551.18000000000006"/>
    <s v="BRESCIA"/>
  </r>
  <r>
    <x v="1"/>
    <x v="22"/>
    <n v="500"/>
    <s v="FARFALLE"/>
    <x v="0"/>
    <x v="1"/>
    <x v="0"/>
    <n v="0.05"/>
    <n v="1.7"/>
    <n v="293"/>
    <n v="498.09999999999997"/>
    <s v="BRESCIA"/>
  </r>
  <r>
    <x v="1"/>
    <x v="23"/>
    <n v="500"/>
    <s v="PEN RIGAT PICCO"/>
    <x v="0"/>
    <x v="0"/>
    <x v="0"/>
    <n v="0.05"/>
    <n v="1.25"/>
    <n v="1060"/>
    <n v="1325"/>
    <s v="BRESCIA"/>
  </r>
  <r>
    <x v="1"/>
    <x v="24"/>
    <n v="500"/>
    <s v="PENNE RIGATE"/>
    <x v="0"/>
    <x v="1"/>
    <x v="0"/>
    <n v="0.05"/>
    <n v="1.53"/>
    <n v="1291"/>
    <n v="1975.23"/>
    <s v="BRESCIA"/>
  </r>
  <r>
    <x v="1"/>
    <x v="25"/>
    <n v="1000"/>
    <s v="PENNE RIGATE"/>
    <x v="0"/>
    <x v="0"/>
    <x v="0"/>
    <n v="0.05"/>
    <n v="1.93"/>
    <n v="2294"/>
    <n v="4427.42"/>
    <s v="BRESCIA"/>
  </r>
  <r>
    <x v="1"/>
    <x v="26"/>
    <n v="500"/>
    <s v="PENNE RIGATE"/>
    <x v="1"/>
    <x v="0"/>
    <x v="0"/>
    <n v="0.05"/>
    <n v="2.62"/>
    <n v="677"/>
    <n v="1773.74"/>
    <s v="BRESCIA"/>
  </r>
  <r>
    <x v="1"/>
    <x v="27"/>
    <n v="500"/>
    <s v="PENNE RIGATE"/>
    <x v="0"/>
    <x v="0"/>
    <x v="0"/>
    <n v="0.05"/>
    <n v="1.1399999999999999"/>
    <n v="3859"/>
    <n v="4399.2599999999993"/>
    <s v="BRESCIA"/>
  </r>
  <r>
    <x v="1"/>
    <x v="28"/>
    <n v="500"/>
    <s v="PIPERIGAT"/>
    <x v="0"/>
    <x v="0"/>
    <x v="0"/>
    <n v="0.05"/>
    <n v="1.28"/>
    <n v="1106"/>
    <n v="1415.68"/>
    <s v="BRESCIA"/>
  </r>
  <r>
    <x v="1"/>
    <x v="29"/>
    <n v="1000"/>
    <s v="SPAGHETTI"/>
    <x v="0"/>
    <x v="0"/>
    <x v="0"/>
    <n v="0.05"/>
    <n v="1.76"/>
    <n v="1855"/>
    <n v="3264.8"/>
    <s v="BRESCIA"/>
  </r>
  <r>
    <x v="1"/>
    <x v="30"/>
    <n v="500"/>
    <s v="SPAGHETTI"/>
    <x v="0"/>
    <x v="0"/>
    <x v="0"/>
    <n v="0.05"/>
    <n v="0.99"/>
    <n v="5342"/>
    <n v="5288.58"/>
    <s v="BRESCIA"/>
  </r>
  <r>
    <x v="1"/>
    <x v="31"/>
    <n v="500"/>
    <s v="SPAGHETTI"/>
    <x v="1"/>
    <x v="0"/>
    <x v="0"/>
    <n v="0.05"/>
    <n v="2.4"/>
    <n v="1108"/>
    <n v="2659.2"/>
    <s v="BRESCIA"/>
  </r>
  <r>
    <x v="1"/>
    <x v="32"/>
    <n v="500"/>
    <s v="SPAGHETTI"/>
    <x v="0"/>
    <x v="1"/>
    <x v="0"/>
    <n v="0.05"/>
    <n v="1.55"/>
    <n v="270"/>
    <n v="418.5"/>
    <s v="BRESCIA"/>
  </r>
  <r>
    <x v="1"/>
    <x v="33"/>
    <n v="500"/>
    <s v="SPAGHETTINI"/>
    <x v="0"/>
    <x v="0"/>
    <x v="0"/>
    <n v="0.05"/>
    <n v="1.38"/>
    <n v="531"/>
    <n v="732.78"/>
    <s v="BRESCIA"/>
  </r>
  <r>
    <x v="1"/>
    <x v="34"/>
    <n v="500"/>
    <s v="SPAGHETTONI"/>
    <x v="0"/>
    <x v="0"/>
    <x v="0"/>
    <n v="0.05"/>
    <n v="1.03"/>
    <n v="2929"/>
    <n v="3016.87"/>
    <s v="BRESCIA"/>
  </r>
  <r>
    <x v="1"/>
    <x v="35"/>
    <n v="500"/>
    <s v="TAGLIATELLE"/>
    <x v="0"/>
    <x v="0"/>
    <x v="0"/>
    <n v="0.05"/>
    <n v="2"/>
    <n v="886"/>
    <n v="1772"/>
    <s v="BRESCIA"/>
  </r>
  <r>
    <x v="1"/>
    <x v="36"/>
    <n v="500"/>
    <s v="TAGLIATELLE"/>
    <x v="0"/>
    <x v="1"/>
    <x v="0"/>
    <n v="0.05"/>
    <n v="1.57"/>
    <n v="1140"/>
    <n v="1789.8000000000002"/>
    <s v="BRESCIA"/>
  </r>
  <r>
    <x v="1"/>
    <x v="37"/>
    <n v="1000"/>
    <s v="TORSADES"/>
    <x v="0"/>
    <x v="0"/>
    <x v="0"/>
    <n v="0.05"/>
    <n v="2.0699999999999998"/>
    <n v="986"/>
    <n v="2041.0199999999998"/>
    <s v="BRESCIA"/>
  </r>
  <r>
    <x v="1"/>
    <x v="37"/>
    <n v="1000"/>
    <s v="TORSADES"/>
    <x v="0"/>
    <x v="0"/>
    <x v="0"/>
    <n v="0.05"/>
    <n v="2.0699999999999998"/>
    <n v="828"/>
    <n v="1713.9599999999998"/>
    <s v="BRESCIA"/>
  </r>
  <r>
    <x v="1"/>
    <x v="38"/>
    <n v="500"/>
    <s v="TORSADES"/>
    <x v="0"/>
    <x v="1"/>
    <x v="0"/>
    <n v="0.05"/>
    <n v="1.48"/>
    <n v="51"/>
    <n v="75.48"/>
    <s v="BRESCIA"/>
  </r>
  <r>
    <x v="1"/>
    <x v="39"/>
    <n v="500"/>
    <s v="TORTIGLIONI"/>
    <x v="0"/>
    <x v="0"/>
    <x v="0"/>
    <n v="0.05"/>
    <n v="1.6"/>
    <n v="383"/>
    <n v="612.80000000000007"/>
    <s v="BRESCIA"/>
  </r>
  <r>
    <x v="1"/>
    <x v="40"/>
    <n v="500"/>
    <s v="TROFIE"/>
    <x v="0"/>
    <x v="0"/>
    <x v="0"/>
    <n v="0.05"/>
    <n v="1.61"/>
    <n v="1150"/>
    <n v="1851.5"/>
    <s v="BRESCIA"/>
  </r>
  <r>
    <x v="1"/>
    <x v="41"/>
    <n v="500"/>
    <s v="VERMICELLE"/>
    <x v="0"/>
    <x v="0"/>
    <x v="0"/>
    <n v="0.05"/>
    <n v="1.43"/>
    <n v="592"/>
    <n v="846.56"/>
    <s v="BRESCIA"/>
  </r>
  <r>
    <x v="2"/>
    <x v="0"/>
    <n v="250"/>
    <s v="CANNELLONI"/>
    <x v="0"/>
    <x v="0"/>
    <x v="0"/>
    <n v="0.05"/>
    <n v="1.5"/>
    <n v="176"/>
    <n v="264"/>
    <s v="BRESCIA"/>
  </r>
  <r>
    <x v="2"/>
    <x v="1"/>
    <n v="500"/>
    <s v="CAPELLINI"/>
    <x v="0"/>
    <x v="0"/>
    <x v="0"/>
    <n v="0.05"/>
    <n v="1.1599999999999999"/>
    <n v="4225"/>
    <n v="4901"/>
    <s v="BRESCIA"/>
  </r>
  <r>
    <x v="2"/>
    <x v="2"/>
    <n v="500"/>
    <s v="CASTELLAN"/>
    <x v="0"/>
    <x v="0"/>
    <x v="0"/>
    <n v="0.05"/>
    <n v="1.61"/>
    <n v="864"/>
    <n v="1391.0400000000002"/>
    <s v="BRESCIA"/>
  </r>
  <r>
    <x v="2"/>
    <x v="3"/>
    <n v="500"/>
    <s v="CELLENTANI"/>
    <x v="0"/>
    <x v="0"/>
    <x v="0"/>
    <n v="0.05"/>
    <n v="1.55"/>
    <n v="308"/>
    <n v="477.40000000000003"/>
    <s v="BRESCIA"/>
  </r>
  <r>
    <x v="2"/>
    <x v="4"/>
    <n v="500"/>
    <s v="COQUILETTE"/>
    <x v="1"/>
    <x v="0"/>
    <x v="0"/>
    <n v="0.05"/>
    <n v="2.5299999999999998"/>
    <n v="616"/>
    <n v="1558.4799999999998"/>
    <s v="BRESCIA"/>
  </r>
  <r>
    <x v="2"/>
    <x v="5"/>
    <n v="500"/>
    <s v="COQUILETTE"/>
    <x v="0"/>
    <x v="0"/>
    <x v="0"/>
    <n v="0.05"/>
    <n v="1.06"/>
    <n v="4193"/>
    <n v="4444.58"/>
    <s v="BRESCIA"/>
  </r>
  <r>
    <x v="2"/>
    <x v="6"/>
    <n v="500"/>
    <s v="COQUILETTE"/>
    <x v="0"/>
    <x v="1"/>
    <x v="0"/>
    <n v="0.05"/>
    <n v="1.1100000000000001"/>
    <n v="580"/>
    <n v="643.80000000000007"/>
    <s v="BRESCIA"/>
  </r>
  <r>
    <x v="2"/>
    <x v="7"/>
    <n v="1000"/>
    <s v="COQUILETTE"/>
    <x v="0"/>
    <x v="0"/>
    <x v="0"/>
    <n v="0.05"/>
    <n v="1.91"/>
    <n v="871"/>
    <n v="1663.61"/>
    <s v="BRESCIA"/>
  </r>
  <r>
    <x v="2"/>
    <x v="8"/>
    <n v="500"/>
    <s v="FARFALLE"/>
    <x v="0"/>
    <x v="0"/>
    <x v="0"/>
    <n v="0.05"/>
    <n v="1.1100000000000001"/>
    <n v="1945"/>
    <n v="2158.9500000000003"/>
    <s v="BRESCIA"/>
  </r>
  <r>
    <x v="2"/>
    <x v="10"/>
    <n v="500"/>
    <s v="FARFALLE"/>
    <x v="0"/>
    <x v="1"/>
    <x v="0"/>
    <n v="0.05"/>
    <n v="1.77"/>
    <n v="163"/>
    <n v="288.51"/>
    <s v="BRESCIA"/>
  </r>
  <r>
    <x v="2"/>
    <x v="11"/>
    <n v="500"/>
    <s v="FARFALLIN"/>
    <x v="0"/>
    <x v="0"/>
    <x v="0"/>
    <n v="0.05"/>
    <n v="1.37"/>
    <n v="166"/>
    <n v="227.42000000000002"/>
    <s v="BRESCIA"/>
  </r>
  <r>
    <x v="2"/>
    <x v="13"/>
    <n v="250"/>
    <s v="GARGANELLI"/>
    <x v="0"/>
    <x v="0"/>
    <x v="0"/>
    <n v="0.05"/>
    <n v="1.79"/>
    <n v="378"/>
    <n v="676.62"/>
    <s v="BRESCIA"/>
  </r>
  <r>
    <x v="2"/>
    <x v="14"/>
    <n v="500"/>
    <s v="GIRANDOL"/>
    <x v="0"/>
    <x v="0"/>
    <x v="0"/>
    <n v="0.05"/>
    <n v="1.08"/>
    <n v="2519"/>
    <n v="2720.52"/>
    <s v="BRESCIA"/>
  </r>
  <r>
    <x v="2"/>
    <x v="16"/>
    <n v="500"/>
    <s v="GNOCHETTI"/>
    <x v="0"/>
    <x v="0"/>
    <x v="0"/>
    <n v="0.05"/>
    <n v="1.57"/>
    <n v="323"/>
    <n v="507.11"/>
    <s v="BRESCIA"/>
  </r>
  <r>
    <x v="2"/>
    <x v="17"/>
    <n v="500"/>
    <s v="LASAGNE"/>
    <x v="0"/>
    <x v="0"/>
    <x v="0"/>
    <n v="0.05"/>
    <n v="1.9"/>
    <n v="1918"/>
    <n v="3644.2"/>
    <s v="BRESCIA"/>
  </r>
  <r>
    <x v="2"/>
    <x v="18"/>
    <n v="500"/>
    <s v="LINGUIN"/>
    <x v="0"/>
    <x v="0"/>
    <x v="0"/>
    <n v="0.05"/>
    <n v="1.54"/>
    <n v="4601"/>
    <n v="7085.54"/>
    <s v="BRESCIA"/>
  </r>
  <r>
    <x v="2"/>
    <x v="19"/>
    <n v="500"/>
    <s v="MACARONI"/>
    <x v="0"/>
    <x v="0"/>
    <x v="0"/>
    <n v="0.05"/>
    <n v="1.19"/>
    <n v="1262"/>
    <n v="1501.78"/>
    <s v="BRESCIA"/>
  </r>
  <r>
    <x v="2"/>
    <x v="20"/>
    <n v="500"/>
    <s v="MINI FARFAL"/>
    <x v="0"/>
    <x v="0"/>
    <x v="0"/>
    <n v="0.05"/>
    <n v="1.4"/>
    <n v="1167"/>
    <n v="1633.8"/>
    <s v="BRESCIA"/>
  </r>
  <r>
    <x v="2"/>
    <x v="21"/>
    <n v="500"/>
    <s v="MINI PIPE RIGATE"/>
    <x v="0"/>
    <x v="0"/>
    <x v="0"/>
    <n v="0.05"/>
    <n v="1.25"/>
    <n v="636"/>
    <n v="795"/>
    <s v="BRESCIA"/>
  </r>
  <r>
    <x v="2"/>
    <x v="22"/>
    <n v="500"/>
    <s v="FARFALLE"/>
    <x v="0"/>
    <x v="1"/>
    <x v="0"/>
    <n v="0.05"/>
    <n v="1.57"/>
    <n v="142"/>
    <n v="222.94"/>
    <s v="BRESCIA"/>
  </r>
  <r>
    <x v="2"/>
    <x v="23"/>
    <n v="500"/>
    <s v="PEN RIGAT PICCO"/>
    <x v="0"/>
    <x v="0"/>
    <x v="0"/>
    <n v="0.05"/>
    <n v="1.29"/>
    <n v="963"/>
    <n v="1242.27"/>
    <s v="BRESCIA"/>
  </r>
  <r>
    <x v="2"/>
    <x v="24"/>
    <n v="500"/>
    <s v="PENNE RIGATE"/>
    <x v="0"/>
    <x v="1"/>
    <x v="0"/>
    <n v="0.05"/>
    <n v="1.51"/>
    <n v="1140"/>
    <n v="1721.4"/>
    <s v="BRESCIA"/>
  </r>
  <r>
    <x v="2"/>
    <x v="25"/>
    <n v="1000"/>
    <s v="PENNE RIGATE"/>
    <x v="0"/>
    <x v="0"/>
    <x v="0"/>
    <n v="0.05"/>
    <n v="1.85"/>
    <n v="2978"/>
    <n v="5509.3"/>
    <s v="BRESCIA"/>
  </r>
  <r>
    <x v="2"/>
    <x v="26"/>
    <n v="500"/>
    <s v="PENNE RIGATE"/>
    <x v="1"/>
    <x v="0"/>
    <x v="0"/>
    <n v="0.05"/>
    <n v="2.5"/>
    <n v="1289"/>
    <n v="3222.5"/>
    <s v="BRESCIA"/>
  </r>
  <r>
    <x v="2"/>
    <x v="27"/>
    <n v="500"/>
    <s v="PENNE RIGATE"/>
    <x v="0"/>
    <x v="0"/>
    <x v="0"/>
    <n v="0.05"/>
    <n v="1.1299999999999999"/>
    <n v="4118"/>
    <n v="4653.3399999999992"/>
    <s v="BRESCIA"/>
  </r>
  <r>
    <x v="2"/>
    <x v="28"/>
    <n v="500"/>
    <s v="PIPERIGAT"/>
    <x v="0"/>
    <x v="0"/>
    <x v="0"/>
    <n v="0.05"/>
    <n v="1.26"/>
    <n v="700"/>
    <n v="882"/>
    <s v="BRESCIA"/>
  </r>
  <r>
    <x v="2"/>
    <x v="29"/>
    <n v="1000"/>
    <s v="SPAGHETTI"/>
    <x v="0"/>
    <x v="0"/>
    <x v="0"/>
    <n v="0.05"/>
    <n v="1.76"/>
    <n v="2600"/>
    <n v="4576"/>
    <s v="BRESCIA"/>
  </r>
  <r>
    <x v="2"/>
    <x v="42"/>
    <n v="1000"/>
    <s v="SPAGHETTONI"/>
    <x v="0"/>
    <x v="0"/>
    <x v="0"/>
    <n v="0.05"/>
    <n v="1.93"/>
    <n v="312"/>
    <n v="602.16"/>
    <s v="BRESCIA"/>
  </r>
  <r>
    <x v="2"/>
    <x v="30"/>
    <n v="500"/>
    <s v="SPAGHETTI"/>
    <x v="0"/>
    <x v="0"/>
    <x v="0"/>
    <n v="0.05"/>
    <n v="0.98"/>
    <n v="2861"/>
    <n v="2803.7799999999997"/>
    <s v="BRESCIA"/>
  </r>
  <r>
    <x v="2"/>
    <x v="31"/>
    <n v="500"/>
    <s v="SPAGHETTI"/>
    <x v="1"/>
    <x v="0"/>
    <x v="0"/>
    <n v="0.05"/>
    <n v="2.61"/>
    <n v="1635"/>
    <n v="4267.3499999999995"/>
    <s v="BRESCIA"/>
  </r>
  <r>
    <x v="2"/>
    <x v="32"/>
    <n v="500"/>
    <s v="SPAGHETTI"/>
    <x v="0"/>
    <x v="1"/>
    <x v="0"/>
    <n v="0.05"/>
    <n v="1.54"/>
    <n v="271"/>
    <n v="417.34000000000003"/>
    <s v="BRESCIA"/>
  </r>
  <r>
    <x v="2"/>
    <x v="33"/>
    <n v="500"/>
    <s v="SPAGHETTINI"/>
    <x v="0"/>
    <x v="0"/>
    <x v="0"/>
    <n v="0.05"/>
    <n v="1.4"/>
    <n v="929"/>
    <n v="1300.5999999999999"/>
    <s v="BRESCIA"/>
  </r>
  <r>
    <x v="2"/>
    <x v="34"/>
    <n v="500"/>
    <s v="SPAGHETTONI"/>
    <x v="0"/>
    <x v="0"/>
    <x v="0"/>
    <n v="0.05"/>
    <n v="1.0900000000000001"/>
    <n v="2111"/>
    <n v="2300.9900000000002"/>
    <s v="BRESCIA"/>
  </r>
  <r>
    <x v="2"/>
    <x v="35"/>
    <n v="500"/>
    <s v="TAGLIATELLE"/>
    <x v="0"/>
    <x v="0"/>
    <x v="0"/>
    <n v="0.05"/>
    <n v="1.93"/>
    <n v="1698"/>
    <n v="3277.14"/>
    <s v="BRESCIA"/>
  </r>
  <r>
    <x v="2"/>
    <x v="36"/>
    <n v="500"/>
    <s v="TAGLIATELLE"/>
    <x v="0"/>
    <x v="1"/>
    <x v="0"/>
    <n v="0.05"/>
    <n v="1.66"/>
    <n v="739"/>
    <n v="1226.74"/>
    <s v="BRESCIA"/>
  </r>
  <r>
    <x v="2"/>
    <x v="38"/>
    <n v="500"/>
    <s v="TORSADES"/>
    <x v="0"/>
    <x v="1"/>
    <x v="0"/>
    <n v="0.05"/>
    <n v="1.56"/>
    <n v="24"/>
    <n v="37.44"/>
    <s v="BRESCIA"/>
  </r>
  <r>
    <x v="2"/>
    <x v="39"/>
    <n v="500"/>
    <s v="TORTIGLIONI"/>
    <x v="0"/>
    <x v="0"/>
    <x v="0"/>
    <n v="0.05"/>
    <n v="1.63"/>
    <n v="227"/>
    <n v="370.01"/>
    <s v="BRESCIA"/>
  </r>
  <r>
    <x v="2"/>
    <x v="40"/>
    <n v="500"/>
    <s v="TROFIE"/>
    <x v="0"/>
    <x v="0"/>
    <x v="0"/>
    <n v="0.05"/>
    <n v="1.6"/>
    <n v="583"/>
    <n v="932.80000000000007"/>
    <s v="BRESCIA"/>
  </r>
  <r>
    <x v="2"/>
    <x v="41"/>
    <n v="500"/>
    <s v="VERMICELLE"/>
    <x v="0"/>
    <x v="0"/>
    <x v="0"/>
    <n v="0.05"/>
    <n v="1.46"/>
    <n v="337"/>
    <n v="492.02"/>
    <s v="BRESCIA"/>
  </r>
  <r>
    <x v="3"/>
    <x v="0"/>
    <n v="250"/>
    <s v="CANNELLONI"/>
    <x v="0"/>
    <x v="0"/>
    <x v="0"/>
    <n v="0.05"/>
    <n v="1.58"/>
    <n v="447"/>
    <n v="706.26"/>
    <s v="BRESCIA"/>
  </r>
  <r>
    <x v="3"/>
    <x v="1"/>
    <n v="500"/>
    <s v="CAPELLINI"/>
    <x v="0"/>
    <x v="0"/>
    <x v="0"/>
    <n v="0.05"/>
    <n v="1.19"/>
    <n v="2339"/>
    <n v="2783.41"/>
    <s v="BRESCIA"/>
  </r>
  <r>
    <x v="3"/>
    <x v="2"/>
    <n v="500"/>
    <s v="CASTELLAN"/>
    <x v="0"/>
    <x v="0"/>
    <x v="0"/>
    <n v="0.05"/>
    <n v="1.57"/>
    <n v="730"/>
    <n v="1146.1000000000001"/>
    <s v="BRESCIA"/>
  </r>
  <r>
    <x v="3"/>
    <x v="3"/>
    <n v="500"/>
    <s v="CELLENTANI"/>
    <x v="0"/>
    <x v="0"/>
    <x v="0"/>
    <n v="0.05"/>
    <n v="1.59"/>
    <n v="673"/>
    <n v="1070.0700000000002"/>
    <s v="BRESCIA"/>
  </r>
  <r>
    <x v="3"/>
    <x v="4"/>
    <n v="500"/>
    <s v="COQUILETTE"/>
    <x v="1"/>
    <x v="0"/>
    <x v="0"/>
    <n v="0.05"/>
    <n v="2.64"/>
    <n v="347"/>
    <n v="916.08"/>
    <s v="BRESCIA"/>
  </r>
  <r>
    <x v="3"/>
    <x v="5"/>
    <n v="500"/>
    <s v="COQUILETTE"/>
    <x v="0"/>
    <x v="0"/>
    <x v="0"/>
    <n v="0.05"/>
    <n v="1.02"/>
    <n v="3321"/>
    <n v="3387.42"/>
    <s v="BRESCIA"/>
  </r>
  <r>
    <x v="3"/>
    <x v="6"/>
    <n v="500"/>
    <s v="COQUILETTE"/>
    <x v="0"/>
    <x v="1"/>
    <x v="0"/>
    <n v="0.05"/>
    <n v="1.17"/>
    <n v="88"/>
    <n v="102.96"/>
    <s v="BRESCIA"/>
  </r>
  <r>
    <x v="3"/>
    <x v="7"/>
    <n v="1000"/>
    <s v="COQUILETTE"/>
    <x v="0"/>
    <x v="0"/>
    <x v="0"/>
    <n v="0.05"/>
    <n v="1.89"/>
    <n v="2251"/>
    <n v="4254.3899999999994"/>
    <s v="BRESCIA"/>
  </r>
  <r>
    <x v="3"/>
    <x v="8"/>
    <n v="500"/>
    <s v="FARFALLE"/>
    <x v="0"/>
    <x v="0"/>
    <x v="0"/>
    <n v="0.05"/>
    <n v="1.1299999999999999"/>
    <n v="2250"/>
    <n v="2542.4999999999995"/>
    <s v="BRESCIA"/>
  </r>
  <r>
    <x v="3"/>
    <x v="10"/>
    <n v="500"/>
    <s v="FARFALLE"/>
    <x v="0"/>
    <x v="1"/>
    <x v="0"/>
    <n v="0.05"/>
    <n v="1.67"/>
    <n v="13"/>
    <n v="21.71"/>
    <s v="BRESCIA"/>
  </r>
  <r>
    <x v="3"/>
    <x v="11"/>
    <n v="500"/>
    <s v="FARFALLIN"/>
    <x v="0"/>
    <x v="0"/>
    <x v="0"/>
    <n v="0.05"/>
    <n v="1.41"/>
    <n v="528"/>
    <n v="744.4799999999999"/>
    <s v="BRESCIA"/>
  </r>
  <r>
    <x v="3"/>
    <x v="13"/>
    <n v="250"/>
    <s v="GARGANELLI"/>
    <x v="0"/>
    <x v="0"/>
    <x v="0"/>
    <n v="0.05"/>
    <n v="1.79"/>
    <n v="486"/>
    <n v="869.94"/>
    <s v="BRESCIA"/>
  </r>
  <r>
    <x v="3"/>
    <x v="14"/>
    <n v="500"/>
    <s v="GIRANDOL"/>
    <x v="0"/>
    <x v="0"/>
    <x v="0"/>
    <n v="0.05"/>
    <n v="1.05"/>
    <n v="2550"/>
    <n v="2677.5"/>
    <s v="BRESCIA"/>
  </r>
  <r>
    <x v="3"/>
    <x v="16"/>
    <n v="500"/>
    <s v="GNOCHETTI"/>
    <x v="0"/>
    <x v="0"/>
    <x v="0"/>
    <n v="0.05"/>
    <n v="1.6"/>
    <n v="293"/>
    <n v="468.8"/>
    <s v="BRESCIA"/>
  </r>
  <r>
    <x v="3"/>
    <x v="17"/>
    <n v="500"/>
    <s v="LASAGNE"/>
    <x v="0"/>
    <x v="0"/>
    <x v="0"/>
    <n v="0.05"/>
    <n v="1.98"/>
    <n v="1078"/>
    <n v="2134.44"/>
    <s v="BRESCIA"/>
  </r>
  <r>
    <x v="3"/>
    <x v="18"/>
    <n v="500"/>
    <s v="LINGUIN"/>
    <x v="0"/>
    <x v="0"/>
    <x v="0"/>
    <n v="0.05"/>
    <n v="1.61"/>
    <n v="2746"/>
    <n v="4421.0600000000004"/>
    <s v="BRESCIA"/>
  </r>
  <r>
    <x v="3"/>
    <x v="19"/>
    <n v="500"/>
    <s v="MACARONI"/>
    <x v="0"/>
    <x v="0"/>
    <x v="0"/>
    <n v="0.05"/>
    <n v="1.23"/>
    <n v="817"/>
    <n v="1004.91"/>
    <s v="BRESCIA"/>
  </r>
  <r>
    <x v="3"/>
    <x v="20"/>
    <n v="500"/>
    <s v="MINI FARFAL"/>
    <x v="0"/>
    <x v="0"/>
    <x v="0"/>
    <n v="0.05"/>
    <n v="1.41"/>
    <n v="1750"/>
    <n v="2467.5"/>
    <s v="BRESCIA"/>
  </r>
  <r>
    <x v="3"/>
    <x v="21"/>
    <n v="500"/>
    <s v="MINI PIPE RIGATE"/>
    <x v="0"/>
    <x v="0"/>
    <x v="0"/>
    <n v="0.05"/>
    <n v="1.33"/>
    <n v="576"/>
    <n v="766.08"/>
    <s v="BRESCIA"/>
  </r>
  <r>
    <x v="3"/>
    <x v="22"/>
    <n v="500"/>
    <s v="FARFALLE"/>
    <x v="0"/>
    <x v="1"/>
    <x v="0"/>
    <n v="0.05"/>
    <n v="1.7"/>
    <n v="158"/>
    <n v="268.59999999999997"/>
    <s v="BRESCIA"/>
  </r>
  <r>
    <x v="3"/>
    <x v="23"/>
    <n v="500"/>
    <s v="PEN RIGAT PICCO"/>
    <x v="0"/>
    <x v="0"/>
    <x v="0"/>
    <n v="0.05"/>
    <n v="1.35"/>
    <n v="1080"/>
    <n v="1458"/>
    <s v="BRESCIA"/>
  </r>
  <r>
    <x v="3"/>
    <x v="24"/>
    <n v="500"/>
    <s v="PENNE RIGATE"/>
    <x v="0"/>
    <x v="1"/>
    <x v="0"/>
    <n v="0.05"/>
    <n v="1.47"/>
    <n v="640"/>
    <n v="940.8"/>
    <s v="BRESCIA"/>
  </r>
  <r>
    <x v="3"/>
    <x v="25"/>
    <n v="1000"/>
    <s v="PENNE RIGATE"/>
    <x v="0"/>
    <x v="0"/>
    <x v="0"/>
    <n v="0.05"/>
    <n v="1.8"/>
    <n v="7097"/>
    <n v="12774.6"/>
    <s v="BRESCIA"/>
  </r>
  <r>
    <x v="3"/>
    <x v="26"/>
    <n v="500"/>
    <s v="PENNE RIGATE"/>
    <x v="1"/>
    <x v="0"/>
    <x v="0"/>
    <n v="0.05"/>
    <n v="2.74"/>
    <n v="612"/>
    <n v="1676.88"/>
    <s v="BRESCIA"/>
  </r>
  <r>
    <x v="3"/>
    <x v="27"/>
    <n v="500"/>
    <s v="PENNE RIGATE"/>
    <x v="0"/>
    <x v="0"/>
    <x v="0"/>
    <n v="0.05"/>
    <n v="1.23"/>
    <n v="3978"/>
    <n v="4892.9399999999996"/>
    <s v="BRESCIA"/>
  </r>
  <r>
    <x v="3"/>
    <x v="28"/>
    <n v="500"/>
    <s v="PIPERIGAT"/>
    <x v="0"/>
    <x v="0"/>
    <x v="0"/>
    <n v="0.05"/>
    <n v="1.35"/>
    <n v="1077"/>
    <n v="1453.95"/>
    <s v="BRESCIA"/>
  </r>
  <r>
    <x v="3"/>
    <x v="29"/>
    <n v="1000"/>
    <s v="SPAGHETTI"/>
    <x v="0"/>
    <x v="0"/>
    <x v="0"/>
    <n v="0.05"/>
    <n v="1.73"/>
    <n v="5069"/>
    <n v="8769.3700000000008"/>
    <s v="BRESCIA"/>
  </r>
  <r>
    <x v="3"/>
    <x v="42"/>
    <n v="1000"/>
    <s v="SPAGHETTONI"/>
    <x v="0"/>
    <x v="0"/>
    <x v="0"/>
    <n v="0.05"/>
    <n v="2.12"/>
    <n v="1285"/>
    <n v="2724.2000000000003"/>
    <s v="BRESCIA"/>
  </r>
  <r>
    <x v="3"/>
    <x v="30"/>
    <n v="500"/>
    <s v="SPAGHETTI"/>
    <x v="0"/>
    <x v="0"/>
    <x v="0"/>
    <n v="0.05"/>
    <n v="0.97"/>
    <n v="6118"/>
    <n v="5934.46"/>
    <s v="BRESCIA"/>
  </r>
  <r>
    <x v="3"/>
    <x v="31"/>
    <n v="500"/>
    <s v="SPAGHETTI"/>
    <x v="1"/>
    <x v="0"/>
    <x v="0"/>
    <n v="0.05"/>
    <n v="2.4900000000000002"/>
    <n v="1100"/>
    <n v="2739.0000000000005"/>
    <s v="BRESCIA"/>
  </r>
  <r>
    <x v="3"/>
    <x v="32"/>
    <n v="500"/>
    <s v="SPAGHETTI"/>
    <x v="0"/>
    <x v="1"/>
    <x v="0"/>
    <n v="0.05"/>
    <n v="1.5"/>
    <n v="65"/>
    <n v="97.5"/>
    <s v="BRESCIA"/>
  </r>
  <r>
    <x v="3"/>
    <x v="33"/>
    <n v="500"/>
    <s v="SPAGHETTINI"/>
    <x v="0"/>
    <x v="0"/>
    <x v="0"/>
    <n v="0.05"/>
    <n v="1.39"/>
    <n v="2060"/>
    <n v="2863.3999999999996"/>
    <s v="BRESCIA"/>
  </r>
  <r>
    <x v="3"/>
    <x v="34"/>
    <n v="500"/>
    <s v="SPAGHETTONI"/>
    <x v="0"/>
    <x v="0"/>
    <x v="0"/>
    <n v="0.05"/>
    <n v="1.01"/>
    <n v="2744"/>
    <n v="2771.44"/>
    <s v="BRESCIA"/>
  </r>
  <r>
    <x v="3"/>
    <x v="35"/>
    <n v="500"/>
    <s v="TAGLIATELLE"/>
    <x v="0"/>
    <x v="0"/>
    <x v="0"/>
    <n v="0.05"/>
    <n v="1.89"/>
    <n v="2459"/>
    <n v="4647.5099999999993"/>
    <s v="BRESCIA"/>
  </r>
  <r>
    <x v="3"/>
    <x v="36"/>
    <n v="500"/>
    <s v="TAGLIATELLE"/>
    <x v="0"/>
    <x v="1"/>
    <x v="0"/>
    <n v="0.05"/>
    <n v="1.6"/>
    <n v="614"/>
    <n v="982.40000000000009"/>
    <s v="BRESCIA"/>
  </r>
  <r>
    <x v="3"/>
    <x v="38"/>
    <n v="500"/>
    <s v="TORSADES"/>
    <x v="0"/>
    <x v="1"/>
    <x v="0"/>
    <n v="0.05"/>
    <n v="1.49"/>
    <n v="12"/>
    <n v="17.88"/>
    <s v="BRESCIA"/>
  </r>
  <r>
    <x v="3"/>
    <x v="39"/>
    <n v="500"/>
    <s v="TORTIGLIONI"/>
    <x v="0"/>
    <x v="0"/>
    <x v="0"/>
    <n v="0.05"/>
    <n v="1.63"/>
    <n v="327"/>
    <n v="533.01"/>
    <s v="BRESCIA"/>
  </r>
  <r>
    <x v="3"/>
    <x v="40"/>
    <n v="500"/>
    <s v="TROFIE"/>
    <x v="0"/>
    <x v="0"/>
    <x v="0"/>
    <n v="0.05"/>
    <n v="1.51"/>
    <n v="1417"/>
    <n v="2139.67"/>
    <s v="BRESCIA"/>
  </r>
  <r>
    <x v="3"/>
    <x v="41"/>
    <n v="500"/>
    <s v="VERMICELLE"/>
    <x v="0"/>
    <x v="0"/>
    <x v="0"/>
    <n v="0.05"/>
    <n v="1.44"/>
    <n v="367"/>
    <n v="528.48"/>
    <s v="BRESCIA"/>
  </r>
  <r>
    <x v="4"/>
    <x v="0"/>
    <n v="250"/>
    <s v="CANNELLONI"/>
    <x v="0"/>
    <x v="0"/>
    <x v="0"/>
    <n v="0.05"/>
    <n v="1.54"/>
    <n v="293"/>
    <n v="451.22"/>
    <s v="BRESCIA"/>
  </r>
  <r>
    <x v="4"/>
    <x v="1"/>
    <n v="500"/>
    <s v="CAPELLINI"/>
    <x v="0"/>
    <x v="0"/>
    <x v="0"/>
    <n v="0.05"/>
    <n v="1.17"/>
    <n v="2134"/>
    <n v="2496.7799999999997"/>
    <s v="BRESCIA"/>
  </r>
  <r>
    <x v="4"/>
    <x v="2"/>
    <n v="500"/>
    <s v="CASTELLAN"/>
    <x v="0"/>
    <x v="0"/>
    <x v="0"/>
    <n v="0.05"/>
    <n v="1.5"/>
    <n v="1357"/>
    <n v="2035.5"/>
    <s v="BRESCIA"/>
  </r>
  <r>
    <x v="4"/>
    <x v="3"/>
    <n v="500"/>
    <s v="CELLENTANI"/>
    <x v="0"/>
    <x v="0"/>
    <x v="0"/>
    <n v="0.05"/>
    <n v="1.58"/>
    <n v="401"/>
    <n v="633.58000000000004"/>
    <s v="BRESCIA"/>
  </r>
  <r>
    <x v="4"/>
    <x v="4"/>
    <n v="500"/>
    <s v="COQUILETTE"/>
    <x v="1"/>
    <x v="0"/>
    <x v="0"/>
    <n v="0.05"/>
    <n v="2.67"/>
    <n v="427"/>
    <n v="1140.0899999999999"/>
    <s v="BRESCIA"/>
  </r>
  <r>
    <x v="4"/>
    <x v="5"/>
    <n v="500"/>
    <s v="COQUILETTE"/>
    <x v="0"/>
    <x v="0"/>
    <x v="0"/>
    <n v="0.05"/>
    <n v="1.1100000000000001"/>
    <n v="3151"/>
    <n v="3497.61"/>
    <s v="BRESCIA"/>
  </r>
  <r>
    <x v="4"/>
    <x v="6"/>
    <n v="500"/>
    <s v="COQUILETTE"/>
    <x v="0"/>
    <x v="1"/>
    <x v="0"/>
    <n v="0.05"/>
    <n v="1.1100000000000001"/>
    <n v="8"/>
    <n v="8.8800000000000008"/>
    <s v="BRESCIA"/>
  </r>
  <r>
    <x v="4"/>
    <x v="7"/>
    <n v="1000"/>
    <s v="COQUILETTE"/>
    <x v="0"/>
    <x v="0"/>
    <x v="0"/>
    <n v="0.05"/>
    <n v="1.93"/>
    <n v="687"/>
    <n v="1325.9099999999999"/>
    <s v="BRESCIA"/>
  </r>
  <r>
    <x v="4"/>
    <x v="8"/>
    <n v="500"/>
    <s v="FARFALLE"/>
    <x v="0"/>
    <x v="0"/>
    <x v="0"/>
    <n v="0.05"/>
    <n v="1.1299999999999999"/>
    <n v="2874"/>
    <n v="3247.62"/>
    <s v="BRESCIA"/>
  </r>
  <r>
    <x v="4"/>
    <x v="10"/>
    <n v="500"/>
    <s v="FARFALLE"/>
    <x v="0"/>
    <x v="1"/>
    <x v="0"/>
    <n v="0.05"/>
    <n v="1.79"/>
    <n v="4"/>
    <n v="7.16"/>
    <s v="BRESCIA"/>
  </r>
  <r>
    <x v="4"/>
    <x v="11"/>
    <n v="500"/>
    <s v="FARFALLIN"/>
    <x v="0"/>
    <x v="0"/>
    <x v="0"/>
    <n v="0.05"/>
    <n v="1.41"/>
    <n v="1260"/>
    <n v="1776.6"/>
    <s v="BRESCIA"/>
  </r>
  <r>
    <x v="4"/>
    <x v="13"/>
    <n v="250"/>
    <s v="GARGANELLI"/>
    <x v="0"/>
    <x v="0"/>
    <x v="0"/>
    <n v="0.05"/>
    <n v="1.84"/>
    <n v="366"/>
    <n v="673.44"/>
    <s v="BRESCIA"/>
  </r>
  <r>
    <x v="4"/>
    <x v="14"/>
    <n v="500"/>
    <s v="GIRANDOL"/>
    <x v="0"/>
    <x v="0"/>
    <x v="0"/>
    <n v="0.05"/>
    <n v="1.03"/>
    <n v="3208"/>
    <n v="3304.2400000000002"/>
    <s v="BRESCIA"/>
  </r>
  <r>
    <x v="4"/>
    <x v="16"/>
    <n v="500"/>
    <s v="GNOCHETTI"/>
    <x v="0"/>
    <x v="0"/>
    <x v="0"/>
    <n v="0.05"/>
    <n v="1.6"/>
    <n v="348"/>
    <n v="556.80000000000007"/>
    <s v="BRESCIA"/>
  </r>
  <r>
    <x v="4"/>
    <x v="17"/>
    <n v="500"/>
    <s v="LASAGNE"/>
    <x v="0"/>
    <x v="0"/>
    <x v="0"/>
    <n v="0.05"/>
    <n v="1.99"/>
    <n v="717"/>
    <n v="1426.83"/>
    <s v="BRESCIA"/>
  </r>
  <r>
    <x v="4"/>
    <x v="18"/>
    <n v="500"/>
    <s v="LINGUIN"/>
    <x v="0"/>
    <x v="0"/>
    <x v="0"/>
    <n v="0.05"/>
    <n v="1.6"/>
    <n v="2394"/>
    <n v="3830.4"/>
    <s v="BRESCIA"/>
  </r>
  <r>
    <x v="4"/>
    <x v="19"/>
    <n v="500"/>
    <s v="MACARONI"/>
    <x v="0"/>
    <x v="0"/>
    <x v="0"/>
    <n v="0.05"/>
    <n v="1.2"/>
    <n v="1670"/>
    <n v="2004"/>
    <s v="BRESCIA"/>
  </r>
  <r>
    <x v="4"/>
    <x v="20"/>
    <n v="500"/>
    <s v="MINI FARFAL"/>
    <x v="0"/>
    <x v="0"/>
    <x v="0"/>
    <n v="0.05"/>
    <n v="1.35"/>
    <n v="1734"/>
    <n v="2340.9"/>
    <s v="BRESCIA"/>
  </r>
  <r>
    <x v="4"/>
    <x v="21"/>
    <n v="500"/>
    <s v="MINI PIPE RIGATE"/>
    <x v="0"/>
    <x v="0"/>
    <x v="0"/>
    <n v="0.05"/>
    <n v="1.37"/>
    <n v="922"/>
    <n v="1263.1400000000001"/>
    <s v="BRESCIA"/>
  </r>
  <r>
    <x v="4"/>
    <x v="22"/>
    <n v="500"/>
    <s v="FARFALLE"/>
    <x v="0"/>
    <x v="1"/>
    <x v="0"/>
    <n v="0.05"/>
    <n v="1.63"/>
    <n v="87"/>
    <n v="141.81"/>
    <s v="BRESCIA"/>
  </r>
  <r>
    <x v="4"/>
    <x v="23"/>
    <n v="500"/>
    <s v="PEN RIGAT PICCO"/>
    <x v="0"/>
    <x v="0"/>
    <x v="0"/>
    <n v="0.05"/>
    <n v="1.27"/>
    <n v="1939"/>
    <n v="2462.5300000000002"/>
    <s v="BRESCIA"/>
  </r>
  <r>
    <x v="4"/>
    <x v="24"/>
    <n v="500"/>
    <s v="PENNE RIGATE"/>
    <x v="0"/>
    <x v="1"/>
    <x v="0"/>
    <n v="0.05"/>
    <n v="1.48"/>
    <n v="251"/>
    <n v="371.48"/>
    <s v="BRESCIA"/>
  </r>
  <r>
    <x v="4"/>
    <x v="25"/>
    <n v="1000"/>
    <s v="PENNE RIGATE"/>
    <x v="0"/>
    <x v="0"/>
    <x v="0"/>
    <n v="0.05"/>
    <n v="1.92"/>
    <n v="1463"/>
    <n v="2808.96"/>
    <s v="BRESCIA"/>
  </r>
  <r>
    <x v="4"/>
    <x v="26"/>
    <n v="500"/>
    <s v="PENNE RIGATE"/>
    <x v="1"/>
    <x v="0"/>
    <x v="0"/>
    <n v="0.05"/>
    <n v="2.5"/>
    <n v="1262"/>
    <n v="3155"/>
    <s v="BRESCIA"/>
  </r>
  <r>
    <x v="4"/>
    <x v="27"/>
    <n v="500"/>
    <s v="PENNE RIGATE"/>
    <x v="0"/>
    <x v="0"/>
    <x v="0"/>
    <n v="0.05"/>
    <n v="1.1399999999999999"/>
    <n v="1983"/>
    <n v="2260.62"/>
    <s v="BRESCIA"/>
  </r>
  <r>
    <x v="4"/>
    <x v="28"/>
    <n v="500"/>
    <s v="PIPERIGAT"/>
    <x v="0"/>
    <x v="0"/>
    <x v="0"/>
    <n v="0.05"/>
    <n v="1.32"/>
    <n v="1337"/>
    <n v="1764.8400000000001"/>
    <s v="BRESCIA"/>
  </r>
  <r>
    <x v="4"/>
    <x v="29"/>
    <n v="1000"/>
    <s v="SPAGHETTI"/>
    <x v="0"/>
    <x v="0"/>
    <x v="0"/>
    <n v="0.05"/>
    <n v="1.64"/>
    <n v="1771"/>
    <n v="2904.4399999999996"/>
    <s v="BRESCIA"/>
  </r>
  <r>
    <x v="4"/>
    <x v="42"/>
    <n v="1000"/>
    <s v="SPAGHETTONI"/>
    <x v="0"/>
    <x v="0"/>
    <x v="0"/>
    <n v="0.05"/>
    <n v="1.95"/>
    <n v="755"/>
    <n v="1472.25"/>
    <s v="BRESCIA"/>
  </r>
  <r>
    <x v="4"/>
    <x v="30"/>
    <n v="500"/>
    <s v="SPAGHETTI"/>
    <x v="0"/>
    <x v="0"/>
    <x v="0"/>
    <n v="0.05"/>
    <n v="0.92"/>
    <n v="3089"/>
    <n v="2841.88"/>
    <s v="BRESCIA"/>
  </r>
  <r>
    <x v="4"/>
    <x v="31"/>
    <n v="500"/>
    <s v="SPAGHETTI"/>
    <x v="1"/>
    <x v="0"/>
    <x v="0"/>
    <n v="0.05"/>
    <n v="2.73"/>
    <n v="1322"/>
    <n v="3609.06"/>
    <s v="BRESCIA"/>
  </r>
  <r>
    <x v="4"/>
    <x v="32"/>
    <n v="500"/>
    <s v="SPAGHETTI"/>
    <x v="0"/>
    <x v="1"/>
    <x v="0"/>
    <n v="0.05"/>
    <n v="1.58"/>
    <n v="22"/>
    <n v="34.760000000000005"/>
    <s v="BRESCIA"/>
  </r>
  <r>
    <x v="4"/>
    <x v="33"/>
    <n v="500"/>
    <s v="SPAGHETTINI"/>
    <x v="0"/>
    <x v="0"/>
    <x v="0"/>
    <n v="0.05"/>
    <n v="1.39"/>
    <n v="1117"/>
    <n v="1552.6299999999999"/>
    <s v="BRESCIA"/>
  </r>
  <r>
    <x v="4"/>
    <x v="34"/>
    <n v="500"/>
    <s v="SPAGHETTONI"/>
    <x v="0"/>
    <x v="0"/>
    <x v="0"/>
    <n v="0.05"/>
    <n v="1.01"/>
    <n v="3210"/>
    <n v="3242.1"/>
    <s v="BRESCIA"/>
  </r>
  <r>
    <x v="4"/>
    <x v="35"/>
    <n v="500"/>
    <s v="TAGLIATELLE"/>
    <x v="0"/>
    <x v="0"/>
    <x v="0"/>
    <n v="0.05"/>
    <n v="1.88"/>
    <n v="1487"/>
    <n v="2795.56"/>
    <s v="BRESCIA"/>
  </r>
  <r>
    <x v="4"/>
    <x v="36"/>
    <n v="500"/>
    <s v="TAGLIATELLE"/>
    <x v="0"/>
    <x v="1"/>
    <x v="0"/>
    <n v="0.05"/>
    <n v="1.61"/>
    <n v="561"/>
    <n v="903.21"/>
    <s v="BRESCIA"/>
  </r>
  <r>
    <x v="4"/>
    <x v="38"/>
    <n v="500"/>
    <s v="TORSADES"/>
    <x v="0"/>
    <x v="1"/>
    <x v="0"/>
    <n v="0.05"/>
    <n v="1.56"/>
    <n v="5"/>
    <n v="7.8000000000000007"/>
    <s v="BRESCIA"/>
  </r>
  <r>
    <x v="4"/>
    <x v="39"/>
    <n v="500"/>
    <s v="TORTIGLIONI"/>
    <x v="0"/>
    <x v="0"/>
    <x v="0"/>
    <n v="0.05"/>
    <n v="1.61"/>
    <n v="414"/>
    <n v="666.54000000000008"/>
    <s v="BRESCIA"/>
  </r>
  <r>
    <x v="4"/>
    <x v="40"/>
    <n v="500"/>
    <s v="TROFIE"/>
    <x v="0"/>
    <x v="0"/>
    <x v="0"/>
    <n v="0.05"/>
    <n v="1.48"/>
    <n v="1733"/>
    <n v="2564.84"/>
    <s v="BRESCIA"/>
  </r>
  <r>
    <x v="4"/>
    <x v="41"/>
    <n v="500"/>
    <s v="VERMICELLE"/>
    <x v="0"/>
    <x v="0"/>
    <x v="0"/>
    <n v="0.05"/>
    <n v="1.43"/>
    <n v="1219"/>
    <n v="1743.1699999999998"/>
    <s v="BRESCIA"/>
  </r>
  <r>
    <x v="5"/>
    <x v="43"/>
    <n v="500"/>
    <s v="LASAGNE"/>
    <x v="1"/>
    <x v="1"/>
    <x v="1"/>
    <n v="0.05"/>
    <n v="2.82"/>
    <n v="444"/>
    <n v="1252.08"/>
    <s v="BRESCIA"/>
  </r>
  <r>
    <x v="5"/>
    <x v="44"/>
    <n v="500"/>
    <s v="LINGUIN"/>
    <x v="1"/>
    <x v="1"/>
    <x v="1"/>
    <n v="0.05"/>
    <n v="2.5499999999999998"/>
    <n v="206"/>
    <n v="525.29999999999995"/>
    <s v="BRESCIA"/>
  </r>
  <r>
    <x v="5"/>
    <x v="45"/>
    <n v="500"/>
    <s v="SPAGHETTI"/>
    <x v="1"/>
    <x v="1"/>
    <x v="1"/>
    <n v="0.05"/>
    <n v="2.64"/>
    <n v="343"/>
    <n v="905.5200000000001"/>
    <s v="BRESCIA"/>
  </r>
  <r>
    <x v="5"/>
    <x v="46"/>
    <n v="500"/>
    <s v="FUSILLI"/>
    <x v="1"/>
    <x v="1"/>
    <x v="1"/>
    <n v="0.05"/>
    <n v="2.56"/>
    <n v="309"/>
    <n v="791.04"/>
    <s v="BRESCIA"/>
  </r>
  <r>
    <x v="5"/>
    <x v="47"/>
    <n v="500"/>
    <s v="PENNE RIGATE"/>
    <x v="1"/>
    <x v="1"/>
    <x v="1"/>
    <n v="0.05"/>
    <n v="2.87"/>
    <n v="241"/>
    <n v="691.67000000000007"/>
    <s v="BRESCIA"/>
  </r>
  <r>
    <x v="5"/>
    <x v="48"/>
    <n v="500"/>
    <s v="CAPELLINI"/>
    <x v="1"/>
    <x v="1"/>
    <x v="1"/>
    <n v="0.05"/>
    <n v="2.89"/>
    <n v="350"/>
    <n v="1011.5"/>
    <s v="BRESCIA"/>
  </r>
  <r>
    <x v="5"/>
    <x v="49"/>
    <n v="500"/>
    <s v="COQUILETTE"/>
    <x v="1"/>
    <x v="1"/>
    <x v="1"/>
    <n v="0.05"/>
    <n v="2.79"/>
    <n v="446"/>
    <n v="1244.3399999999999"/>
    <s v="BRESCIA"/>
  </r>
  <r>
    <x v="5"/>
    <x v="50"/>
    <n v="500"/>
    <s v="FARFALLE"/>
    <x v="1"/>
    <x v="1"/>
    <x v="1"/>
    <n v="0.05"/>
    <n v="2.66"/>
    <n v="319"/>
    <n v="848.54000000000008"/>
    <s v="BRESCIA"/>
  </r>
  <r>
    <x v="5"/>
    <x v="51"/>
    <n v="500"/>
    <s v="CASTELLAN"/>
    <x v="1"/>
    <x v="1"/>
    <x v="1"/>
    <n v="0.05"/>
    <n v="2.99"/>
    <n v="422"/>
    <n v="1261.7800000000002"/>
    <s v="BRESCIA"/>
  </r>
  <r>
    <x v="5"/>
    <x v="52"/>
    <n v="500"/>
    <s v="TROFIE"/>
    <x v="1"/>
    <x v="1"/>
    <x v="1"/>
    <n v="0.05"/>
    <n v="2.94"/>
    <n v="254"/>
    <n v="746.76"/>
    <s v="BRESCIA"/>
  </r>
  <r>
    <x v="5"/>
    <x v="53"/>
    <n v="500"/>
    <s v="GIRANDOL"/>
    <x v="1"/>
    <x v="1"/>
    <x v="1"/>
    <n v="0.05"/>
    <n v="2.89"/>
    <n v="324"/>
    <n v="936.36"/>
    <s v="BRESCIA"/>
  </r>
  <r>
    <x v="5"/>
    <x v="54"/>
    <n v="250"/>
    <s v="MINI FARFAL"/>
    <x v="1"/>
    <x v="1"/>
    <x v="1"/>
    <n v="0.05"/>
    <n v="2.3199999999999998"/>
    <n v="310"/>
    <n v="719.19999999999993"/>
    <s v="BRESCIA"/>
  </r>
  <r>
    <x v="0"/>
    <x v="43"/>
    <n v="500"/>
    <s v="LASAGNE"/>
    <x v="1"/>
    <x v="1"/>
    <x v="1"/>
    <n v="0.05"/>
    <n v="2.82"/>
    <n v="448"/>
    <n v="1263.3599999999999"/>
    <s v="BRESCIA"/>
  </r>
  <r>
    <x v="0"/>
    <x v="44"/>
    <n v="500"/>
    <s v="LINGUIN"/>
    <x v="1"/>
    <x v="1"/>
    <x v="1"/>
    <n v="0.05"/>
    <n v="2.5499999999999998"/>
    <n v="202"/>
    <n v="515.09999999999991"/>
    <s v="BRESCIA"/>
  </r>
  <r>
    <x v="0"/>
    <x v="45"/>
    <n v="500"/>
    <s v="SPAGHETTI"/>
    <x v="1"/>
    <x v="1"/>
    <x v="1"/>
    <n v="0.05"/>
    <n v="2.64"/>
    <n v="329"/>
    <n v="868.56000000000006"/>
    <s v="BRESCIA"/>
  </r>
  <r>
    <x v="0"/>
    <x v="46"/>
    <n v="500"/>
    <s v="FUSILLI"/>
    <x v="1"/>
    <x v="1"/>
    <x v="1"/>
    <n v="0.05"/>
    <n v="2.56"/>
    <n v="312"/>
    <n v="798.72"/>
    <s v="BRESCIA"/>
  </r>
  <r>
    <x v="0"/>
    <x v="47"/>
    <n v="500"/>
    <s v="PENNE RIGATE"/>
    <x v="1"/>
    <x v="1"/>
    <x v="1"/>
    <n v="0.05"/>
    <n v="2.87"/>
    <n v="260"/>
    <n v="746.2"/>
    <s v="BRESCIA"/>
  </r>
  <r>
    <x v="0"/>
    <x v="48"/>
    <n v="500"/>
    <s v="CAPELLINI"/>
    <x v="1"/>
    <x v="1"/>
    <x v="1"/>
    <n v="0.05"/>
    <n v="2.89"/>
    <n v="368"/>
    <n v="1063.52"/>
    <s v="BRESCIA"/>
  </r>
  <r>
    <x v="0"/>
    <x v="49"/>
    <n v="500"/>
    <s v="COQUILETTE"/>
    <x v="1"/>
    <x v="1"/>
    <x v="1"/>
    <n v="0.05"/>
    <n v="2.79"/>
    <n v="459"/>
    <n v="1280.6100000000001"/>
    <s v="BRESCIA"/>
  </r>
  <r>
    <x v="0"/>
    <x v="50"/>
    <n v="500"/>
    <s v="FARFALLE"/>
    <x v="1"/>
    <x v="1"/>
    <x v="1"/>
    <n v="0.05"/>
    <n v="2.66"/>
    <n v="325"/>
    <n v="864.5"/>
    <s v="BRESCIA"/>
  </r>
  <r>
    <x v="0"/>
    <x v="51"/>
    <n v="500"/>
    <s v="CASTELLAN"/>
    <x v="1"/>
    <x v="1"/>
    <x v="1"/>
    <n v="0.05"/>
    <n v="2.99"/>
    <n v="443"/>
    <n v="1324.5700000000002"/>
    <s v="BRESCIA"/>
  </r>
  <r>
    <x v="0"/>
    <x v="52"/>
    <n v="500"/>
    <s v="TROFIE"/>
    <x v="1"/>
    <x v="1"/>
    <x v="1"/>
    <n v="0.05"/>
    <n v="2.94"/>
    <n v="259"/>
    <n v="761.46"/>
    <s v="BRESCIA"/>
  </r>
  <r>
    <x v="0"/>
    <x v="53"/>
    <n v="500"/>
    <s v="GIRANDOL"/>
    <x v="1"/>
    <x v="1"/>
    <x v="1"/>
    <n v="0.05"/>
    <n v="2.89"/>
    <n v="330"/>
    <n v="953.7"/>
    <s v="BRESCIA"/>
  </r>
  <r>
    <x v="0"/>
    <x v="54"/>
    <n v="250"/>
    <s v="MINI FARFAL"/>
    <x v="1"/>
    <x v="1"/>
    <x v="1"/>
    <n v="0.05"/>
    <n v="2.3199999999999998"/>
    <n v="332"/>
    <n v="770.2399999999999"/>
    <s v="BRESCIA"/>
  </r>
  <r>
    <x v="1"/>
    <x v="43"/>
    <n v="500"/>
    <s v="LASAGNE"/>
    <x v="1"/>
    <x v="1"/>
    <x v="1"/>
    <n v="0.05"/>
    <n v="2.82"/>
    <n v="440"/>
    <n v="1240.8"/>
    <s v="BRESCIA"/>
  </r>
  <r>
    <x v="1"/>
    <x v="44"/>
    <n v="500"/>
    <s v="LINGUIN"/>
    <x v="1"/>
    <x v="1"/>
    <x v="1"/>
    <n v="0.05"/>
    <n v="2.5499999999999998"/>
    <n v="204"/>
    <n v="520.19999999999993"/>
    <s v="BRESCIA"/>
  </r>
  <r>
    <x v="1"/>
    <x v="45"/>
    <n v="500"/>
    <s v="SPAGHETTI"/>
    <x v="1"/>
    <x v="1"/>
    <x v="1"/>
    <n v="0.05"/>
    <n v="2.64"/>
    <n v="364"/>
    <n v="960.96"/>
    <s v="BRESCIA"/>
  </r>
  <r>
    <x v="1"/>
    <x v="46"/>
    <n v="500"/>
    <s v="FUSILLI"/>
    <x v="1"/>
    <x v="1"/>
    <x v="1"/>
    <n v="0.05"/>
    <n v="2.56"/>
    <n v="303"/>
    <n v="775.68000000000006"/>
    <s v="BRESCIA"/>
  </r>
  <r>
    <x v="1"/>
    <x v="47"/>
    <n v="500"/>
    <s v="PENNE RIGATE"/>
    <x v="1"/>
    <x v="1"/>
    <x v="1"/>
    <n v="0.05"/>
    <n v="2.87"/>
    <n v="234"/>
    <n v="671.58"/>
    <s v="BRESCIA"/>
  </r>
  <r>
    <x v="1"/>
    <x v="48"/>
    <n v="500"/>
    <s v="CAPELLINI"/>
    <x v="1"/>
    <x v="1"/>
    <x v="1"/>
    <n v="0.05"/>
    <n v="2.89"/>
    <n v="347"/>
    <n v="1002.83"/>
    <s v="BRESCIA"/>
  </r>
  <r>
    <x v="1"/>
    <x v="49"/>
    <n v="500"/>
    <s v="COQUILETTE"/>
    <x v="1"/>
    <x v="1"/>
    <x v="1"/>
    <n v="0.05"/>
    <n v="2.79"/>
    <n v="477"/>
    <n v="1330.83"/>
    <s v="BRESCIA"/>
  </r>
  <r>
    <x v="1"/>
    <x v="50"/>
    <n v="500"/>
    <s v="FARFALLE"/>
    <x v="1"/>
    <x v="1"/>
    <x v="1"/>
    <n v="0.05"/>
    <n v="2.66"/>
    <n v="341"/>
    <n v="907.06000000000006"/>
    <s v="BRESCIA"/>
  </r>
  <r>
    <x v="1"/>
    <x v="51"/>
    <n v="500"/>
    <s v="CASTELLAN"/>
    <x v="1"/>
    <x v="1"/>
    <x v="1"/>
    <n v="0.05"/>
    <n v="2.99"/>
    <n v="418"/>
    <n v="1249.8200000000002"/>
    <s v="BRESCIA"/>
  </r>
  <r>
    <x v="1"/>
    <x v="52"/>
    <n v="500"/>
    <s v="TROFIE"/>
    <x v="1"/>
    <x v="1"/>
    <x v="1"/>
    <n v="0.05"/>
    <n v="2.94"/>
    <n v="287"/>
    <n v="843.78"/>
    <s v="BRESCIA"/>
  </r>
  <r>
    <x v="1"/>
    <x v="53"/>
    <n v="500"/>
    <s v="GIRANDOL"/>
    <x v="1"/>
    <x v="1"/>
    <x v="1"/>
    <n v="0.05"/>
    <n v="2.89"/>
    <n v="363"/>
    <n v="1049.07"/>
    <s v="BRESCIA"/>
  </r>
  <r>
    <x v="1"/>
    <x v="54"/>
    <n v="250"/>
    <s v="MINI FARFAL"/>
    <x v="1"/>
    <x v="1"/>
    <x v="1"/>
    <n v="0.05"/>
    <n v="2.3199999999999998"/>
    <n v="338"/>
    <n v="784.16"/>
    <s v="BRESCIA"/>
  </r>
  <r>
    <x v="2"/>
    <x v="43"/>
    <n v="500"/>
    <s v="LASAGNE"/>
    <x v="1"/>
    <x v="1"/>
    <x v="1"/>
    <n v="0.05"/>
    <n v="2.82"/>
    <n v="608"/>
    <n v="1714.56"/>
    <s v="BRESCIA"/>
  </r>
  <r>
    <x v="2"/>
    <x v="44"/>
    <n v="500"/>
    <s v="LINGUIN"/>
    <x v="1"/>
    <x v="1"/>
    <x v="1"/>
    <n v="0.05"/>
    <n v="2.5499999999999998"/>
    <n v="295"/>
    <n v="752.25"/>
    <s v="BRESCIA"/>
  </r>
  <r>
    <x v="2"/>
    <x v="45"/>
    <n v="500"/>
    <s v="SPAGHETTI"/>
    <x v="1"/>
    <x v="1"/>
    <x v="1"/>
    <n v="0.05"/>
    <n v="2.64"/>
    <n v="490"/>
    <n v="1293.6000000000001"/>
    <s v="BRESCIA"/>
  </r>
  <r>
    <x v="2"/>
    <x v="46"/>
    <n v="500"/>
    <s v="FUSILLI"/>
    <x v="1"/>
    <x v="1"/>
    <x v="1"/>
    <n v="0.05"/>
    <n v="2.56"/>
    <n v="411"/>
    <n v="1052.1600000000001"/>
    <s v="BRESCIA"/>
  </r>
  <r>
    <x v="2"/>
    <x v="47"/>
    <n v="500"/>
    <s v="PENNE RIGATE"/>
    <x v="1"/>
    <x v="1"/>
    <x v="1"/>
    <n v="0.05"/>
    <n v="2.87"/>
    <n v="362"/>
    <n v="1038.94"/>
    <s v="BRESCIA"/>
  </r>
  <r>
    <x v="2"/>
    <x v="48"/>
    <n v="500"/>
    <s v="CAPELLINI"/>
    <x v="1"/>
    <x v="1"/>
    <x v="1"/>
    <n v="0.05"/>
    <n v="2.89"/>
    <n v="445"/>
    <n v="1286.05"/>
    <s v="BRESCIA"/>
  </r>
  <r>
    <x v="2"/>
    <x v="49"/>
    <n v="500"/>
    <s v="COQUILETTE"/>
    <x v="1"/>
    <x v="1"/>
    <x v="1"/>
    <n v="0.05"/>
    <n v="2.79"/>
    <n v="669"/>
    <n v="1866.51"/>
    <s v="BRESCIA"/>
  </r>
  <r>
    <x v="2"/>
    <x v="50"/>
    <n v="500"/>
    <s v="FARFALLE"/>
    <x v="1"/>
    <x v="1"/>
    <x v="1"/>
    <n v="0.05"/>
    <n v="2.66"/>
    <n v="440"/>
    <n v="1170.4000000000001"/>
    <s v="BRESCIA"/>
  </r>
  <r>
    <x v="2"/>
    <x v="51"/>
    <n v="500"/>
    <s v="CASTELLAN"/>
    <x v="1"/>
    <x v="1"/>
    <x v="1"/>
    <n v="0.05"/>
    <n v="2.99"/>
    <n v="620"/>
    <n v="1853.8000000000002"/>
    <s v="BRESCIA"/>
  </r>
  <r>
    <x v="2"/>
    <x v="52"/>
    <n v="500"/>
    <s v="TROFIE"/>
    <x v="1"/>
    <x v="1"/>
    <x v="1"/>
    <n v="0.05"/>
    <n v="2.94"/>
    <n v="325"/>
    <n v="955.5"/>
    <s v="BRESCIA"/>
  </r>
  <r>
    <x v="2"/>
    <x v="53"/>
    <n v="500"/>
    <s v="GIRANDOL"/>
    <x v="1"/>
    <x v="1"/>
    <x v="1"/>
    <n v="0.05"/>
    <n v="2.89"/>
    <n v="483"/>
    <n v="1395.8700000000001"/>
    <s v="BRESCIA"/>
  </r>
  <r>
    <x v="2"/>
    <x v="54"/>
    <n v="250"/>
    <s v="MINI FARFAL"/>
    <x v="1"/>
    <x v="1"/>
    <x v="1"/>
    <n v="0.05"/>
    <n v="2.3199999999999998"/>
    <n v="397"/>
    <n v="921.04"/>
    <s v="BRESCIA"/>
  </r>
  <r>
    <x v="3"/>
    <x v="43"/>
    <n v="500"/>
    <s v="LASAGNE"/>
    <x v="1"/>
    <x v="1"/>
    <x v="1"/>
    <n v="0.05"/>
    <n v="2.82"/>
    <n v="617"/>
    <n v="1739.9399999999998"/>
    <s v="BRESCIA"/>
  </r>
  <r>
    <x v="3"/>
    <x v="44"/>
    <n v="500"/>
    <s v="LINGUIN"/>
    <x v="1"/>
    <x v="1"/>
    <x v="1"/>
    <n v="0.05"/>
    <n v="2.5499999999999998"/>
    <n v="299"/>
    <n v="762.44999999999993"/>
    <s v="BRESCIA"/>
  </r>
  <r>
    <x v="3"/>
    <x v="45"/>
    <n v="500"/>
    <s v="SPAGHETTI"/>
    <x v="1"/>
    <x v="1"/>
    <x v="1"/>
    <n v="0.05"/>
    <n v="2.64"/>
    <n v="504"/>
    <n v="1330.5600000000002"/>
    <s v="BRESCIA"/>
  </r>
  <r>
    <x v="3"/>
    <x v="46"/>
    <n v="500"/>
    <s v="FUSILLI"/>
    <x v="1"/>
    <x v="1"/>
    <x v="1"/>
    <n v="0.05"/>
    <n v="2.56"/>
    <n v="451"/>
    <n v="1154.56"/>
    <s v="BRESCIA"/>
  </r>
  <r>
    <x v="3"/>
    <x v="47"/>
    <n v="500"/>
    <s v="PENNE RIGATE"/>
    <x v="1"/>
    <x v="1"/>
    <x v="1"/>
    <n v="0.05"/>
    <n v="2.87"/>
    <n v="352"/>
    <n v="1010.24"/>
    <s v="BRESCIA"/>
  </r>
  <r>
    <x v="3"/>
    <x v="48"/>
    <n v="500"/>
    <s v="CAPELLINI"/>
    <x v="1"/>
    <x v="1"/>
    <x v="1"/>
    <n v="0.05"/>
    <n v="2.89"/>
    <n v="483"/>
    <n v="1395.8700000000001"/>
    <s v="BRESCIA"/>
  </r>
  <r>
    <x v="3"/>
    <x v="49"/>
    <n v="500"/>
    <s v="COQUILETTE"/>
    <x v="1"/>
    <x v="1"/>
    <x v="1"/>
    <n v="0.05"/>
    <n v="2.79"/>
    <n v="665"/>
    <n v="1855.3500000000001"/>
    <s v="BRESCIA"/>
  </r>
  <r>
    <x v="3"/>
    <x v="50"/>
    <n v="500"/>
    <s v="FARFALLE"/>
    <x v="1"/>
    <x v="1"/>
    <x v="1"/>
    <n v="0.05"/>
    <n v="2.66"/>
    <n v="459"/>
    <n v="1220.94"/>
    <s v="BRESCIA"/>
  </r>
  <r>
    <x v="3"/>
    <x v="51"/>
    <n v="500"/>
    <s v="CASTELLAN"/>
    <x v="1"/>
    <x v="1"/>
    <x v="1"/>
    <n v="0.05"/>
    <n v="2.99"/>
    <n v="591"/>
    <n v="1767.0900000000001"/>
    <s v="BRESCIA"/>
  </r>
  <r>
    <x v="3"/>
    <x v="52"/>
    <n v="500"/>
    <s v="TROFIE"/>
    <x v="1"/>
    <x v="1"/>
    <x v="1"/>
    <n v="0.05"/>
    <n v="2.94"/>
    <n v="353"/>
    <n v="1037.82"/>
    <s v="BRESCIA"/>
  </r>
  <r>
    <x v="3"/>
    <x v="53"/>
    <n v="500"/>
    <s v="GIRANDOL"/>
    <x v="1"/>
    <x v="1"/>
    <x v="1"/>
    <n v="0.05"/>
    <n v="2.89"/>
    <n v="450"/>
    <n v="1300.5"/>
    <s v="BRESCIA"/>
  </r>
  <r>
    <x v="3"/>
    <x v="54"/>
    <n v="250"/>
    <s v="MINI FARFAL"/>
    <x v="1"/>
    <x v="1"/>
    <x v="1"/>
    <n v="0.05"/>
    <n v="2.3199999999999998"/>
    <n v="434"/>
    <n v="1006.8799999999999"/>
    <s v="BRESCIA"/>
  </r>
  <r>
    <x v="4"/>
    <x v="43"/>
    <n v="500"/>
    <s v="LASAGNE"/>
    <x v="1"/>
    <x v="1"/>
    <x v="1"/>
    <n v="0.05"/>
    <n v="2.82"/>
    <n v="715"/>
    <n v="2016.3"/>
    <s v="BRESCIA"/>
  </r>
  <r>
    <x v="4"/>
    <x v="44"/>
    <n v="500"/>
    <s v="LINGUIN"/>
    <x v="1"/>
    <x v="1"/>
    <x v="1"/>
    <n v="0.05"/>
    <n v="2.5499999999999998"/>
    <n v="342"/>
    <n v="872.09999999999991"/>
    <s v="BRESCIA"/>
  </r>
  <r>
    <x v="4"/>
    <x v="45"/>
    <n v="500"/>
    <s v="SPAGHETTI"/>
    <x v="1"/>
    <x v="1"/>
    <x v="1"/>
    <n v="0.05"/>
    <n v="2.64"/>
    <n v="501"/>
    <n v="1322.64"/>
    <s v="BRESCIA"/>
  </r>
  <r>
    <x v="4"/>
    <x v="46"/>
    <n v="500"/>
    <s v="FUSILLI"/>
    <x v="1"/>
    <x v="1"/>
    <x v="1"/>
    <n v="0.05"/>
    <n v="2.56"/>
    <n v="538"/>
    <n v="1377.28"/>
    <s v="BRESCIA"/>
  </r>
  <r>
    <x v="4"/>
    <x v="47"/>
    <n v="500"/>
    <s v="PENNE RIGATE"/>
    <x v="1"/>
    <x v="1"/>
    <x v="1"/>
    <n v="0.05"/>
    <n v="2.87"/>
    <n v="410"/>
    <n v="1176.7"/>
    <s v="BRESCIA"/>
  </r>
  <r>
    <x v="4"/>
    <x v="48"/>
    <n v="500"/>
    <s v="CAPELLINI"/>
    <x v="1"/>
    <x v="1"/>
    <x v="1"/>
    <n v="0.05"/>
    <n v="2.89"/>
    <n v="578"/>
    <n v="1670.42"/>
    <s v="BRESCIA"/>
  </r>
  <r>
    <x v="4"/>
    <x v="49"/>
    <n v="500"/>
    <s v="COQUILETTE"/>
    <x v="1"/>
    <x v="1"/>
    <x v="1"/>
    <n v="0.05"/>
    <n v="2.79"/>
    <n v="705"/>
    <n v="1966.95"/>
    <s v="BRESCIA"/>
  </r>
  <r>
    <x v="4"/>
    <x v="50"/>
    <n v="500"/>
    <s v="FARFALLE"/>
    <x v="1"/>
    <x v="1"/>
    <x v="1"/>
    <n v="0.05"/>
    <n v="2.66"/>
    <n v="475"/>
    <n v="1263.5"/>
    <s v="BRESCIA"/>
  </r>
  <r>
    <x v="4"/>
    <x v="51"/>
    <n v="500"/>
    <s v="CASTELLAN"/>
    <x v="1"/>
    <x v="1"/>
    <x v="1"/>
    <n v="0.05"/>
    <n v="2.99"/>
    <n v="646"/>
    <n v="1931.5400000000002"/>
    <s v="BRESCIA"/>
  </r>
  <r>
    <x v="4"/>
    <x v="52"/>
    <n v="500"/>
    <s v="TROFIE"/>
    <x v="1"/>
    <x v="1"/>
    <x v="1"/>
    <n v="0.05"/>
    <n v="2.94"/>
    <n v="376"/>
    <n v="1105.44"/>
    <s v="BRESCIA"/>
  </r>
  <r>
    <x v="4"/>
    <x v="53"/>
    <n v="500"/>
    <s v="GIRANDOL"/>
    <x v="1"/>
    <x v="1"/>
    <x v="1"/>
    <n v="0.05"/>
    <n v="2.89"/>
    <n v="561"/>
    <n v="1621.29"/>
    <s v="BRESCIA"/>
  </r>
  <r>
    <x v="4"/>
    <x v="54"/>
    <n v="250"/>
    <s v="MINI FARFAL"/>
    <x v="1"/>
    <x v="1"/>
    <x v="1"/>
    <n v="0.05"/>
    <n v="2.3199999999999998"/>
    <n v="493"/>
    <n v="1143.76"/>
    <s v="BRESCIA"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  <r>
    <x v="6"/>
    <x v="55"/>
    <m/>
    <m/>
    <x v="0"/>
    <x v="0"/>
    <x v="2"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0A1989-E9A3-476D-AC76-87C21C329DEF}" name="Tableau croisé dynamique3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4">
  <location ref="A31:D40" firstHeaderRow="1" firstDataRow="2" firstDataCol="1"/>
  <pivotFields count="14">
    <pivotField axis="axisRow" showAll="0">
      <items count="8">
        <item x="5"/>
        <item x="0"/>
        <item x="1"/>
        <item x="2"/>
        <item x="3"/>
        <item x="4"/>
        <item x="6"/>
        <item t="default"/>
      </items>
    </pivotField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13"/>
    <field x="12"/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4"/>
  </colFields>
  <colItems count="3">
    <i>
      <x/>
    </i>
    <i>
      <x v="1"/>
    </i>
    <i t="grand">
      <x/>
    </i>
  </colItems>
  <dataFields count="1">
    <dataField name="Somme de CA" fld="10" baseField="0" baseItem="0"/>
  </dataFields>
  <formats count="16"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13" type="button" dataOnly="0" labelOnly="1" outline="0" axis="axisRow" fieldPosition="0"/>
    </format>
    <format dxfId="18">
      <pivotArea dataOnly="0" labelOnly="1" fieldPosition="0">
        <references count="1">
          <reference field="13" count="7">
            <x v="0"/>
            <x v="1"/>
            <x v="2"/>
            <x v="3"/>
            <x v="4"/>
            <x v="5"/>
            <x v="6"/>
          </reference>
        </references>
      </pivotArea>
    </format>
    <format dxfId="17">
      <pivotArea dataOnly="0" labelOnly="1" grandRow="1" outline="0" fieldPosition="0"/>
    </format>
    <format dxfId="16">
      <pivotArea dataOnly="0" labelOnly="1" outline="0" axis="axisValues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type="origin" dataOnly="0" labelOnly="1" outline="0" fieldPosition="0"/>
    </format>
    <format dxfId="12">
      <pivotArea field="4" type="button" dataOnly="0" labelOnly="1" outline="0" axis="axisCol" fieldPosition="0"/>
    </format>
    <format dxfId="11">
      <pivotArea type="topRight" dataOnly="0" labelOnly="1" outline="0" fieldPosition="0"/>
    </format>
    <format dxfId="10">
      <pivotArea field="13" type="button" dataOnly="0" labelOnly="1" outline="0" axis="axisRow" fieldPosition="0"/>
    </format>
    <format dxfId="9">
      <pivotArea dataOnly="0" labelOnly="1" fieldPosition="0">
        <references count="1">
          <reference field="13" count="7">
            <x v="0"/>
            <x v="1"/>
            <x v="2"/>
            <x v="3"/>
            <x v="4"/>
            <x v="5"/>
            <x v="6"/>
          </reference>
        </references>
      </pivotArea>
    </format>
    <format dxfId="8">
      <pivotArea dataOnly="0" labelOnly="1" grandRow="1" outline="0" fieldPosition="0"/>
    </format>
    <format dxfId="7">
      <pivotArea dataOnly="0" labelOnly="1" fieldPosition="0">
        <references count="1">
          <reference field="4" count="0"/>
        </references>
      </pivotArea>
    </format>
    <format dxfId="6">
      <pivotArea dataOnly="0" labelOnly="1" grandCol="1" outline="0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3" format="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3" format="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74D725-B578-4C71-97B7-6CBF804EEFFF}" name="Tableau croisé dynamique2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9">
  <location ref="A17:D26" firstHeaderRow="1" firstDataRow="2" firstDataCol="1"/>
  <pivotFields count="14">
    <pivotField axis="axisRow" showAll="0">
      <items count="8">
        <item x="5"/>
        <item x="0"/>
        <item x="1"/>
        <item x="2"/>
        <item x="3"/>
        <item x="4"/>
        <item x="6"/>
        <item t="default"/>
      </items>
    </pivotField>
    <pivotField showAll="0"/>
    <pivotField showAll="0"/>
    <pivotField showAll="0"/>
    <pivotField showAll="0">
      <items count="3">
        <item x="1"/>
        <item x="0"/>
        <item t="default"/>
      </items>
    </pivotField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13"/>
    <field x="12"/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Somme de CA" fld="10" baseField="0" baseItem="0"/>
  </dataFields>
  <formats count="15">
    <format dxfId="36">
      <pivotArea type="all" dataOnly="0" outline="0" fieldPosition="0"/>
    </format>
    <format dxfId="35">
      <pivotArea outline="0" collapsedLevelsAreSubtotals="1" fieldPosition="0"/>
    </format>
    <format dxfId="34">
      <pivotArea field="13" type="button" dataOnly="0" labelOnly="1" outline="0" axis="axisRow" fieldPosition="0"/>
    </format>
    <format dxfId="33">
      <pivotArea dataOnly="0" labelOnly="1" fieldPosition="0">
        <references count="1">
          <reference field="13" count="7">
            <x v="0"/>
            <x v="1"/>
            <x v="2"/>
            <x v="3"/>
            <x v="4"/>
            <x v="5"/>
            <x v="6"/>
          </reference>
        </references>
      </pivotArea>
    </format>
    <format dxfId="32">
      <pivotArea dataOnly="0" labelOnly="1" grandRow="1" outline="0" fieldPosition="0"/>
    </format>
    <format dxfId="31">
      <pivotArea dataOnly="0" labelOnly="1" outline="0" axis="axisValues" fieldPosition="0"/>
    </format>
    <format dxfId="30">
      <pivotArea type="all" dataOnly="0" outline="0" fieldPosition="0"/>
    </format>
    <format dxfId="29">
      <pivotArea outline="0" collapsedLevelsAreSubtotals="1" fieldPosition="0"/>
    </format>
    <format dxfId="28">
      <pivotArea type="origin" dataOnly="0" labelOnly="1" outline="0" fieldPosition="0"/>
    </format>
    <format dxfId="27">
      <pivotArea field="4" type="button" dataOnly="0" labelOnly="1" outline="0"/>
    </format>
    <format dxfId="26">
      <pivotArea type="topRight" dataOnly="0" labelOnly="1" outline="0" fieldPosition="0"/>
    </format>
    <format dxfId="25">
      <pivotArea field="13" type="button" dataOnly="0" labelOnly="1" outline="0" axis="axisRow" fieldPosition="0"/>
    </format>
    <format dxfId="24">
      <pivotArea dataOnly="0" labelOnly="1" fieldPosition="0">
        <references count="1">
          <reference field="13" count="7">
            <x v="0"/>
            <x v="1"/>
            <x v="2"/>
            <x v="3"/>
            <x v="4"/>
            <x v="5"/>
            <x v="6"/>
          </reference>
        </references>
      </pivotArea>
    </format>
    <format dxfId="23">
      <pivotArea dataOnly="0" labelOnly="1" grandRow="1" outline="0" fieldPosition="0"/>
    </format>
    <format dxfId="22">
      <pivotArea dataOnly="0" labelOnly="1" grandCol="1" outline="0" fieldPosition="0"/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3" format="15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E06BF4-5C5E-4F2C-AA64-135724B09888}" name="Tableau croisé dynamique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7">
  <location ref="A3:B11" firstHeaderRow="1" firstDataRow="1" firstDataCol="1"/>
  <pivotFields count="14">
    <pivotField axis="axisRow" showAll="0">
      <items count="8">
        <item x="5"/>
        <item x="0"/>
        <item x="1"/>
        <item x="2"/>
        <item x="3"/>
        <item x="4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13"/>
    <field x="12"/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omme de CA" fld="10" baseField="0" baseItem="0"/>
  </dataFields>
  <formats count="6">
    <format dxfId="42">
      <pivotArea type="all" dataOnly="0" outline="0" fieldPosition="0"/>
    </format>
    <format dxfId="41">
      <pivotArea outline="0" collapsedLevelsAreSubtotals="1" fieldPosition="0"/>
    </format>
    <format dxfId="40">
      <pivotArea field="13" type="button" dataOnly="0" labelOnly="1" outline="0" axis="axisRow" fieldPosition="0"/>
    </format>
    <format dxfId="39">
      <pivotArea dataOnly="0" labelOnly="1" fieldPosition="0">
        <references count="1">
          <reference field="13" count="7">
            <x v="0"/>
            <x v="1"/>
            <x v="2"/>
            <x v="3"/>
            <x v="4"/>
            <x v="5"/>
            <x v="6"/>
          </reference>
        </references>
      </pivotArea>
    </format>
    <format dxfId="38">
      <pivotArea dataOnly="0" labelOnly="1" grandRow="1" outline="0" fieldPosition="0"/>
    </format>
    <format dxfId="37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48420D-E913-4A85-A060-25E19F1054F8}" name="Tableau croisé dynamique4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6">
  <location ref="A45:D52" firstHeaderRow="1" firstDataRow="2" firstDataCol="1"/>
  <pivotFields count="14">
    <pivotField axis="axisRow" showAll="0">
      <items count="8">
        <item x="0"/>
        <item x="1"/>
        <item x="2"/>
        <item x="3"/>
        <item h="1" x="5"/>
        <item x="4"/>
        <item h="1" x="6"/>
        <item t="default"/>
      </items>
    </pivotField>
    <pivotField showAll="0"/>
    <pivotField showAll="0"/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dataField="1" showAll="0"/>
    <pivotField showAll="0"/>
    <pivotField showAll="0">
      <items count="369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h="1"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0"/>
  </rowFields>
  <rowItems count="6">
    <i>
      <x/>
    </i>
    <i>
      <x v="1"/>
    </i>
    <i>
      <x v="2"/>
    </i>
    <i>
      <x v="3"/>
    </i>
    <i>
      <x v="5"/>
    </i>
    <i t="grand">
      <x/>
    </i>
  </rowItems>
  <colFields count="1">
    <field x="6"/>
  </colFields>
  <colItems count="3">
    <i>
      <x/>
    </i>
    <i>
      <x v="1"/>
    </i>
    <i t="grand">
      <x/>
    </i>
  </colItems>
  <dataFields count="1">
    <dataField name="Somme de CA" fld="10" baseField="0" baseItem="0"/>
  </dataFields>
  <formats count="24">
    <format dxfId="66">
      <pivotArea type="all" dataOnly="0" outline="0" fieldPosition="0"/>
    </format>
    <format dxfId="65">
      <pivotArea outline="0" collapsedLevelsAreSubtotals="1" fieldPosition="0"/>
    </format>
    <format dxfId="64">
      <pivotArea field="13" type="button" dataOnly="0" labelOnly="1" outline="0"/>
    </format>
    <format dxfId="63">
      <pivotArea dataOnly="0" labelOnly="1" grandRow="1" outline="0" fieldPosition="0"/>
    </format>
    <format dxfId="62">
      <pivotArea dataOnly="0" labelOnly="1" outline="0" axis="axisValues" fieldPosition="0"/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type="origin" dataOnly="0" labelOnly="1" outline="0" fieldPosition="0"/>
    </format>
    <format dxfId="58">
      <pivotArea field="6" type="button" dataOnly="0" labelOnly="1" outline="0" axis="axisCol" fieldPosition="0"/>
    </format>
    <format dxfId="57">
      <pivotArea type="topRight" dataOnly="0" labelOnly="1" outline="0" fieldPosition="0"/>
    </format>
    <format dxfId="56">
      <pivotArea field="12" type="button" dataOnly="0" labelOnly="1" outline="0"/>
    </format>
    <format dxfId="55">
      <pivotArea dataOnly="0" labelOnly="1" grandRow="1" outline="0" fieldPosition="0"/>
    </format>
    <format dxfId="54">
      <pivotArea dataOnly="0" labelOnly="1" fieldPosition="0">
        <references count="1">
          <reference field="6" count="2">
            <x v="0"/>
            <x v="1"/>
          </reference>
        </references>
      </pivotArea>
    </format>
    <format dxfId="53">
      <pivotArea dataOnly="0" labelOnly="1" grandCol="1" outline="0" fieldPosition="0"/>
    </format>
    <format dxfId="52">
      <pivotArea type="all" dataOnly="0" outline="0" fieldPosition="0"/>
    </format>
    <format dxfId="51">
      <pivotArea outline="0" collapsedLevelsAreSubtotals="1" fieldPosition="0"/>
    </format>
    <format dxfId="50">
      <pivotArea type="origin" dataOnly="0" labelOnly="1" outline="0" fieldPosition="0"/>
    </format>
    <format dxfId="49">
      <pivotArea field="6" type="button" dataOnly="0" labelOnly="1" outline="0" axis="axisCol" fieldPosition="0"/>
    </format>
    <format dxfId="48">
      <pivotArea type="topRight" dataOnly="0" labelOnly="1" outline="0" fieldPosition="0"/>
    </format>
    <format dxfId="47">
      <pivotArea field="0" type="button" dataOnly="0" labelOnly="1" outline="0" axis="axisRow" fieldPosition="0"/>
    </format>
    <format dxfId="46">
      <pivotArea dataOnly="0" labelOnly="1" fieldPosition="0">
        <references count="1">
          <reference field="0" count="0"/>
        </references>
      </pivotArea>
    </format>
    <format dxfId="45">
      <pivotArea dataOnly="0" labelOnly="1" grandRow="1" outline="0" fieldPosition="0"/>
    </format>
    <format dxfId="44">
      <pivotArea dataOnly="0" labelOnly="1" fieldPosition="0">
        <references count="1">
          <reference field="6" count="2">
            <x v="0"/>
            <x v="1"/>
          </reference>
        </references>
      </pivotArea>
    </format>
    <format dxfId="43">
      <pivotArea dataOnly="0" labelOnly="1" grandCol="1" outline="0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649440-B2C9-47DB-8FC4-B1D2B2709FEE}" name="Tableau croisé dynamique1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6:C58" firstHeaderRow="0" firstDataRow="1" firstDataCol="1" rowPageCount="3" colPageCount="1"/>
  <pivotFields count="14">
    <pivotField axis="axisPage" showAll="0">
      <items count="8">
        <item x="5"/>
        <item x="0"/>
        <item x="1"/>
        <item x="2"/>
        <item x="3"/>
        <item x="4"/>
        <item x="6"/>
        <item t="default"/>
      </items>
    </pivotField>
    <pivotField axis="axisRow" showAll="0">
      <items count="57">
        <item x="13"/>
        <item x="42"/>
        <item x="40"/>
        <item x="17"/>
        <item x="23"/>
        <item x="39"/>
        <item x="41"/>
        <item x="29"/>
        <item x="5"/>
        <item x="35"/>
        <item x="27"/>
        <item x="16"/>
        <item x="2"/>
        <item x="11"/>
        <item x="33"/>
        <item x="19"/>
        <item x="7"/>
        <item x="22"/>
        <item x="6"/>
        <item x="26"/>
        <item x="9"/>
        <item x="32"/>
        <item x="10"/>
        <item x="37"/>
        <item x="28"/>
        <item x="3"/>
        <item x="15"/>
        <item x="14"/>
        <item x="34"/>
        <item x="21"/>
        <item x="30"/>
        <item x="25"/>
        <item x="12"/>
        <item x="38"/>
        <item x="31"/>
        <item x="20"/>
        <item x="4"/>
        <item x="36"/>
        <item x="8"/>
        <item x="1"/>
        <item x="0"/>
        <item x="24"/>
        <item x="18"/>
        <item x="44"/>
        <item x="50"/>
        <item x="52"/>
        <item x="47"/>
        <item x="49"/>
        <item x="51"/>
        <item x="46"/>
        <item x="45"/>
        <item x="48"/>
        <item x="53"/>
        <item x="43"/>
        <item x="54"/>
        <item x="55"/>
        <item t="default"/>
      </items>
    </pivotField>
    <pivotField showAll="0"/>
    <pivotField showAll="0"/>
    <pivotField showAll="0">
      <items count="3">
        <item x="1"/>
        <item x="0"/>
        <item t="default"/>
      </items>
    </pivotField>
    <pivotField axis="axisPage" showAll="0">
      <items count="3">
        <item x="1"/>
        <item x="0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dataField="1" showAll="0"/>
    <pivotField dataField="1"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1"/>
    </i>
    <i>
      <x v="22"/>
    </i>
    <i>
      <x v="24"/>
    </i>
    <i>
      <x v="25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 t="grand">
      <x/>
    </i>
  </rowItems>
  <colFields count="1">
    <field x="-2"/>
  </colFields>
  <colItems count="2">
    <i>
      <x/>
    </i>
    <i i="1">
      <x v="1"/>
    </i>
  </colItems>
  <pageFields count="3">
    <pageField fld="6" hier="-1"/>
    <pageField fld="0" item="5" hier="-1"/>
    <pageField fld="5" hier="-1"/>
  </pageFields>
  <dataFields count="2">
    <dataField name="Moyenne de Prix de vente" fld="8" subtotal="average" baseField="1" baseItem="0"/>
    <dataField name="Somme de Quantités mois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AEE374-4998-4045-AA78-F74A93BB4A88}" name="Tableau croisé dynamique4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3:D7" firstHeaderRow="1" firstDataRow="2" firstDataCol="1" rowPageCount="1" colPageCount="1"/>
  <pivotFields count="14">
    <pivotField axis="axisPage" showAll="0">
      <items count="8">
        <item x="5"/>
        <item x="0"/>
        <item x="1"/>
        <item x="2"/>
        <item x="3"/>
        <item x="4"/>
        <item x="6"/>
        <item t="default"/>
      </items>
    </pivotField>
    <pivotField dataField="1"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3">
    <i>
      <x/>
    </i>
    <i>
      <x v="1"/>
    </i>
    <i t="grand">
      <x/>
    </i>
  </rowItems>
  <colFields count="1">
    <field x="4"/>
  </colFields>
  <colItems count="3">
    <i>
      <x/>
    </i>
    <i>
      <x v="1"/>
    </i>
    <i t="grand">
      <x/>
    </i>
  </colItems>
  <pageFields count="1">
    <pageField fld="0" item="5" hier="-1"/>
  </pageFields>
  <dataFields count="1">
    <dataField name="Nombre de Référence" fld="1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D20D90-A32B-4AC3-8761-A2A54794A958}" name="Tableau croisé dynamique5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4:B17" firstHeaderRow="1" firstDataRow="1" firstDataCol="1" rowPageCount="2" colPageCount="1"/>
  <pivotFields count="14">
    <pivotField axis="axisPage" showAll="0">
      <items count="8">
        <item x="5"/>
        <item x="0"/>
        <item x="1"/>
        <item x="2"/>
        <item x="3"/>
        <item x="4"/>
        <item x="6"/>
        <item t="default"/>
      </items>
    </pivotField>
    <pivotField axis="axisRow" showAll="0">
      <items count="57">
        <item x="13"/>
        <item x="42"/>
        <item x="40"/>
        <item x="17"/>
        <item x="23"/>
        <item x="39"/>
        <item x="41"/>
        <item x="29"/>
        <item x="5"/>
        <item x="35"/>
        <item x="27"/>
        <item x="16"/>
        <item x="2"/>
        <item x="11"/>
        <item x="33"/>
        <item x="19"/>
        <item x="7"/>
        <item x="22"/>
        <item x="6"/>
        <item x="26"/>
        <item x="9"/>
        <item x="32"/>
        <item x="10"/>
        <item x="37"/>
        <item x="28"/>
        <item x="3"/>
        <item x="15"/>
        <item x="14"/>
        <item x="34"/>
        <item x="21"/>
        <item x="30"/>
        <item x="25"/>
        <item x="12"/>
        <item x="38"/>
        <item x="31"/>
        <item x="20"/>
        <item x="4"/>
        <item x="36"/>
        <item x="8"/>
        <item x="1"/>
        <item x="0"/>
        <item x="24"/>
        <item x="18"/>
        <item x="44"/>
        <item x="50"/>
        <item x="52"/>
        <item x="47"/>
        <item x="49"/>
        <item x="51"/>
        <item x="46"/>
        <item x="45"/>
        <item x="48"/>
        <item x="53"/>
        <item x="43"/>
        <item x="54"/>
        <item x="55"/>
        <item t="default"/>
      </items>
    </pivotField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dataField="1" showAll="0"/>
    <pivotField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13"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 t="grand">
      <x/>
    </i>
  </rowItems>
  <colItems count="1">
    <i/>
  </colItems>
  <pageFields count="2">
    <pageField fld="0" item="5" hier="-1"/>
    <pageField fld="6" item="1" hier="-1"/>
  </pageFields>
  <dataFields count="1">
    <dataField name="Somme de Prix de vente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06097-A2CE-40C6-A0DE-40FB84D7AC87}" name="Tableau croisé dynamique6" cacheId="0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>
  <location ref="A5:C35" firstHeaderRow="0" firstDataRow="1" firstDataCol="1" rowPageCount="3" colPageCount="1"/>
  <pivotFields count="14">
    <pivotField axis="axisPage" showAll="0">
      <items count="8">
        <item x="5"/>
        <item x="0"/>
        <item x="1"/>
        <item x="2"/>
        <item x="3"/>
        <item x="4"/>
        <item x="6"/>
        <item t="default"/>
      </items>
    </pivotField>
    <pivotField axis="axisRow" showAll="0">
      <items count="57">
        <item x="13"/>
        <item x="42"/>
        <item x="40"/>
        <item x="17"/>
        <item x="23"/>
        <item x="39"/>
        <item x="41"/>
        <item x="29"/>
        <item x="5"/>
        <item x="35"/>
        <item x="27"/>
        <item x="16"/>
        <item x="2"/>
        <item x="11"/>
        <item x="33"/>
        <item x="19"/>
        <item x="7"/>
        <item x="22"/>
        <item x="6"/>
        <item x="26"/>
        <item x="9"/>
        <item x="32"/>
        <item x="10"/>
        <item x="37"/>
        <item x="28"/>
        <item x="3"/>
        <item x="15"/>
        <item x="14"/>
        <item x="34"/>
        <item x="21"/>
        <item x="30"/>
        <item x="25"/>
        <item x="12"/>
        <item x="38"/>
        <item x="31"/>
        <item x="20"/>
        <item x="4"/>
        <item x="36"/>
        <item x="8"/>
        <item x="1"/>
        <item x="0"/>
        <item x="24"/>
        <item x="18"/>
        <item x="44"/>
        <item x="50"/>
        <item x="52"/>
        <item x="47"/>
        <item x="49"/>
        <item x="51"/>
        <item x="46"/>
        <item x="45"/>
        <item x="48"/>
        <item x="53"/>
        <item x="43"/>
        <item x="54"/>
        <item x="55"/>
        <item t="default"/>
      </items>
    </pivotField>
    <pivotField showAll="0"/>
    <pivotField showAll="0"/>
    <pivotField axis="axisPage" showAll="0">
      <items count="3">
        <item x="1"/>
        <item x="0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showAll="0"/>
    <pivotField dataField="1" showAll="0"/>
    <pivotField dataField="1" showAll="0"/>
    <pivotField showAll="0"/>
    <pivotField showAll="0"/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24"/>
    </i>
    <i>
      <x v="25"/>
    </i>
    <i>
      <x v="27"/>
    </i>
    <i>
      <x v="28"/>
    </i>
    <i>
      <x v="29"/>
    </i>
    <i>
      <x v="30"/>
    </i>
    <i>
      <x v="31"/>
    </i>
    <i>
      <x v="35"/>
    </i>
    <i>
      <x v="38"/>
    </i>
    <i>
      <x v="39"/>
    </i>
    <i>
      <x v="40"/>
    </i>
    <i>
      <x v="42"/>
    </i>
    <i t="grand">
      <x/>
    </i>
  </rowItems>
  <colFields count="1">
    <field x="-2"/>
  </colFields>
  <colItems count="2">
    <i>
      <x/>
    </i>
    <i i="1">
      <x v="1"/>
    </i>
  </colItems>
  <pageFields count="3">
    <pageField fld="4" item="1" hier="-1"/>
    <pageField fld="5" item="1" hier="-1"/>
    <pageField fld="0" item="5" hier="-1"/>
  </pageFields>
  <dataFields count="2">
    <dataField name="Somme de Prix de vente" fld="8" baseField="0" baseItem="0"/>
    <dataField name="Somme de Quantités mois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08B548-07E9-408D-BD63-5217927C4CF3}" name="Tableau2" displayName="Tableau2" ref="K3:P10" totalsRowShown="0">
  <autoFilter ref="K3:P10" xr:uid="{B408B548-07E9-408D-BD63-5217927C4CF3}"/>
  <tableColumns count="6">
    <tableColumn id="1" xr3:uid="{4F68EC6E-0D29-4984-98F0-F5CE07AB7742}" name="Analyse"/>
    <tableColumn id="2" xr3:uid="{0A48357A-9AB6-4E63-8FA8-6341DA0F1E59}" name="Prix de vente"/>
    <tableColumn id="3" xr3:uid="{802292EE-A6D0-41B3-8238-98AAC6F80B5A}" name="TVA"/>
    <tableColumn id="4" xr3:uid="{83F0C8CC-D5AA-418B-B681-0F0A21D9537D}" name="Quantités"/>
    <tableColumn id="5" xr3:uid="{C49E9E4C-0E65-484F-A1AA-562B2E4719DE}" name="Poids"/>
    <tableColumn id="6" xr3:uid="{AE3DD70C-6E64-4FF8-BA28-61899F962D73}" name="C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F67E93-2D07-443E-89BB-CE7A7C07D464}" name="Tableau3" displayName="Tableau3" ref="K13:P86" totalsRowShown="0">
  <autoFilter ref="K13:P86" xr:uid="{4DF67E93-2D07-443E-89BB-CE7A7C07D464}"/>
  <tableColumns count="6">
    <tableColumn id="1" xr3:uid="{DAD64D6D-0C94-48A5-B184-C9699CF80DA7}" name="Analyse"/>
    <tableColumn id="2" xr3:uid="{4BC1523D-C26B-4746-9F2E-D8822EFDF1F2}" name="Référence"/>
    <tableColumn id="3" xr3:uid="{A6F465E3-67EA-49E1-8177-1B5E941068E4}" name="Glutenfree"/>
    <tableColumn id="4" xr3:uid="{64EB7086-A92F-49AF-9240-79916A0DC9EA}" name="Bio"/>
    <tableColumn id="5" xr3:uid="{178E3D61-4D87-455B-80B1-79754C9955F1}" name="Code marque"/>
    <tableColumn id="6" xr3:uid="{5707CFCF-2447-4250-99D4-58B3DC482778}" name="Fournisseur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B4D6AF2-FA65-49F4-A8CF-D0AB31CB22B3}" name="Tableau5" displayName="Tableau5" ref="A1:E10" totalsRowShown="0">
  <autoFilter ref="A1:E10" xr:uid="{8B4D6AF2-FA65-49F4-A8CF-D0AB31CB22B3}"/>
  <tableColumns count="5">
    <tableColumn id="1" xr3:uid="{6580B551-9AF6-4390-8C1E-AC0E5404F4F4}" name="Étiquettes de lignes" dataDxfId="5"/>
    <tableColumn id="2" xr3:uid="{EAE93201-FFC7-463A-987C-0BF0E55229F9}" name="LECCE"/>
    <tableColumn id="3" xr3:uid="{48ED5826-3F5A-4D5F-A881-8E84E49E5CC0}" name="Prévision(LECCE)">
      <calculatedColumnFormula>_xlfn.FORECAST.ETS(A2,$B$2:$B$6,$A$2:$A$6,1,1)</calculatedColumnFormula>
    </tableColumn>
    <tableColumn id="4" xr3:uid="{D8A409AB-0665-4C73-8977-8297D1F504DD}" name="Limite de confiance inférieure(LECCE)" dataDxfId="4">
      <calculatedColumnFormula>C2-_xlfn.FORECAST.ETS.CONFINT(A2,$B$2:$B$6,$A$2:$A$6,0.95,1,1)</calculatedColumnFormula>
    </tableColumn>
    <tableColumn id="5" xr3:uid="{D2885FCC-87E2-4625-BBB7-130B4B977607}" name="Limite de confiance supérieure(LECCE)" dataDxfId="3">
      <calculatedColumnFormula>C2+_xlfn.FORECAST.ETS.CONFINT(A2,$B$2:$B$6,$A$2:$A$6,0.95,1,1)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576D158-34C6-48C4-93FA-606053440B85}" name="Tableau4" displayName="Tableau4" ref="A1:E8" totalsRowShown="0">
  <autoFilter ref="A1:E8" xr:uid="{5576D158-34C6-48C4-93FA-606053440B85}"/>
  <tableColumns count="5">
    <tableColumn id="1" xr3:uid="{0C616EDB-E6D4-403C-83E8-B85E5C41DD66}" name="Étiquettes de lignes" dataDxfId="2"/>
    <tableColumn id="2" xr3:uid="{6F7F17CE-AEBE-463A-B5F6-97F227B4AA26}" name="BRE"/>
    <tableColumn id="3" xr3:uid="{B1A0FC7B-FE68-4EA9-882B-AB1961CDA453}" name="Prévision(BRE)"/>
    <tableColumn id="4" xr3:uid="{19FACBAC-59C8-4CDA-953B-669CC9BE9A43}" name="Limite de confiance inférieure(BRE)" dataDxfId="1"/>
    <tableColumn id="5" xr3:uid="{437D9347-0A21-4491-B888-DD6245F84F49}" name="Limite de confiance supérieure(BRE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5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7.xml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P69"/>
  <sheetViews>
    <sheetView topLeftCell="D1" workbookViewId="0">
      <selection activeCell="D12" sqref="D3:D40"/>
    </sheetView>
  </sheetViews>
  <sheetFormatPr baseColWidth="10" defaultColWidth="8.7265625" defaultRowHeight="14.5" x14ac:dyDescent="0.35"/>
  <cols>
    <col min="4" max="4" width="10.453125" bestFit="1" customWidth="1"/>
    <col min="5" max="5" width="14.08984375" customWidth="1"/>
    <col min="11" max="11" width="12" customWidth="1"/>
    <col min="12" max="12" width="14.26953125" customWidth="1"/>
    <col min="13" max="13" width="10.7265625" customWidth="1"/>
    <col min="14" max="14" width="15.36328125" customWidth="1"/>
    <col min="15" max="16" width="10.7265625" customWidth="1"/>
  </cols>
  <sheetData>
    <row r="1" spans="1:16" x14ac:dyDescent="0.35">
      <c r="A1" t="s">
        <v>30</v>
      </c>
      <c r="B1" t="s">
        <v>43</v>
      </c>
      <c r="D1" s="60" t="s">
        <v>45</v>
      </c>
      <c r="E1" s="61"/>
      <c r="F1" s="61"/>
      <c r="G1" s="62"/>
    </row>
    <row r="2" spans="1:16" x14ac:dyDescent="0.35">
      <c r="A2" t="s">
        <v>31</v>
      </c>
      <c r="B2" t="s">
        <v>43</v>
      </c>
      <c r="D2" s="10" t="s">
        <v>49</v>
      </c>
      <c r="E2" s="11" t="s">
        <v>47</v>
      </c>
      <c r="F2" s="11" t="s">
        <v>46</v>
      </c>
      <c r="G2" s="12" t="s">
        <v>48</v>
      </c>
      <c r="K2" s="63" t="s">
        <v>66</v>
      </c>
      <c r="L2" s="64"/>
      <c r="M2" s="64"/>
      <c r="N2" s="64"/>
      <c r="O2" s="64"/>
      <c r="P2" s="64"/>
    </row>
    <row r="3" spans="1:16" x14ac:dyDescent="0.35">
      <c r="A3" t="s">
        <v>32</v>
      </c>
      <c r="B3" t="s">
        <v>43</v>
      </c>
      <c r="D3" s="5">
        <v>45494</v>
      </c>
      <c r="E3" t="s">
        <v>57</v>
      </c>
      <c r="F3" t="s">
        <v>56</v>
      </c>
      <c r="G3" s="6"/>
      <c r="K3" t="s">
        <v>59</v>
      </c>
      <c r="L3" t="s">
        <v>60</v>
      </c>
      <c r="M3" t="s">
        <v>61</v>
      </c>
      <c r="N3" t="s">
        <v>62</v>
      </c>
      <c r="O3" t="s">
        <v>63</v>
      </c>
      <c r="P3" t="s">
        <v>64</v>
      </c>
    </row>
    <row r="4" spans="1:16" x14ac:dyDescent="0.35">
      <c r="A4" t="s">
        <v>33</v>
      </c>
      <c r="B4" t="s">
        <v>43</v>
      </c>
      <c r="D4" s="5">
        <v>45495</v>
      </c>
      <c r="E4" t="s">
        <v>58</v>
      </c>
      <c r="F4" t="s">
        <v>50</v>
      </c>
      <c r="G4" s="6"/>
      <c r="K4" t="s">
        <v>67</v>
      </c>
      <c r="L4">
        <v>0.92</v>
      </c>
      <c r="M4">
        <v>5.5E-2</v>
      </c>
      <c r="N4">
        <v>2.3199999999999998</v>
      </c>
      <c r="O4">
        <v>250</v>
      </c>
      <c r="P4">
        <v>7.16</v>
      </c>
    </row>
    <row r="5" spans="1:16" x14ac:dyDescent="0.35">
      <c r="A5" t="s">
        <v>34</v>
      </c>
      <c r="B5" t="s">
        <v>43</v>
      </c>
      <c r="D5" s="5">
        <v>45496</v>
      </c>
      <c r="E5" t="s">
        <v>58</v>
      </c>
      <c r="F5" t="s">
        <v>51</v>
      </c>
      <c r="G5" s="6"/>
      <c r="K5" t="s">
        <v>68</v>
      </c>
      <c r="L5">
        <v>2.74</v>
      </c>
      <c r="M5">
        <v>5.5E-2</v>
      </c>
      <c r="N5">
        <v>7097</v>
      </c>
      <c r="O5">
        <v>1000</v>
      </c>
      <c r="P5">
        <v>12774.6</v>
      </c>
    </row>
    <row r="6" spans="1:16" x14ac:dyDescent="0.35">
      <c r="A6" t="s">
        <v>35</v>
      </c>
      <c r="B6" t="s">
        <v>43</v>
      </c>
      <c r="D6" s="5">
        <v>45497</v>
      </c>
      <c r="E6" t="s">
        <v>58</v>
      </c>
      <c r="F6" t="s">
        <v>52</v>
      </c>
      <c r="G6" s="6"/>
      <c r="K6" t="s">
        <v>69</v>
      </c>
      <c r="L6">
        <v>1.5759113300492615</v>
      </c>
      <c r="M6">
        <v>5.4999999999999875E-2</v>
      </c>
      <c r="N6">
        <v>997.49279999999965</v>
      </c>
      <c r="O6">
        <v>529.09090909090912</v>
      </c>
      <c r="P6">
        <v>1565.722109090909</v>
      </c>
    </row>
    <row r="7" spans="1:16" x14ac:dyDescent="0.35">
      <c r="A7" t="s">
        <v>36</v>
      </c>
      <c r="B7" t="s">
        <v>43</v>
      </c>
      <c r="D7" s="5">
        <v>45498</v>
      </c>
      <c r="E7" t="s">
        <v>58</v>
      </c>
      <c r="F7" t="s">
        <v>53</v>
      </c>
      <c r="G7" s="6"/>
      <c r="K7" t="s">
        <v>72</v>
      </c>
      <c r="L7">
        <v>0</v>
      </c>
      <c r="M7">
        <v>0</v>
      </c>
      <c r="N7">
        <v>0</v>
      </c>
      <c r="O7">
        <v>0</v>
      </c>
      <c r="P7">
        <v>0</v>
      </c>
    </row>
    <row r="8" spans="1:16" x14ac:dyDescent="0.35">
      <c r="A8" t="s">
        <v>37</v>
      </c>
      <c r="B8" t="s">
        <v>43</v>
      </c>
      <c r="D8" s="5">
        <v>45499</v>
      </c>
      <c r="E8" t="s">
        <v>58</v>
      </c>
      <c r="F8" t="s">
        <v>54</v>
      </c>
      <c r="G8" s="6"/>
    </row>
    <row r="9" spans="1:16" x14ac:dyDescent="0.35">
      <c r="A9" t="s">
        <v>38</v>
      </c>
      <c r="B9" t="s">
        <v>43</v>
      </c>
      <c r="D9" s="5">
        <v>45500</v>
      </c>
      <c r="E9" t="s">
        <v>57</v>
      </c>
      <c r="F9" t="s">
        <v>55</v>
      </c>
      <c r="G9" s="6"/>
    </row>
    <row r="10" spans="1:16" x14ac:dyDescent="0.35">
      <c r="A10" t="s">
        <v>39</v>
      </c>
      <c r="B10" t="s">
        <v>43</v>
      </c>
      <c r="D10" s="5">
        <v>45501</v>
      </c>
      <c r="E10" t="s">
        <v>57</v>
      </c>
      <c r="F10" t="s">
        <v>56</v>
      </c>
      <c r="G10" s="6"/>
    </row>
    <row r="11" spans="1:16" x14ac:dyDescent="0.35">
      <c r="A11" t="s">
        <v>40</v>
      </c>
      <c r="B11" t="s">
        <v>43</v>
      </c>
      <c r="D11" s="5">
        <v>45502</v>
      </c>
      <c r="E11" t="s">
        <v>58</v>
      </c>
      <c r="F11" t="s">
        <v>50</v>
      </c>
      <c r="G11" s="6"/>
    </row>
    <row r="12" spans="1:16" x14ac:dyDescent="0.35">
      <c r="D12" s="5">
        <v>45503</v>
      </c>
      <c r="E12" t="s">
        <v>58</v>
      </c>
      <c r="F12" t="s">
        <v>51</v>
      </c>
      <c r="G12" s="6"/>
      <c r="K12" s="65" t="s">
        <v>65</v>
      </c>
      <c r="L12" s="65"/>
      <c r="M12" s="65"/>
      <c r="N12" s="65"/>
      <c r="O12" s="65"/>
      <c r="P12" s="65"/>
    </row>
    <row r="13" spans="1:16" x14ac:dyDescent="0.35">
      <c r="D13" s="5">
        <v>45504</v>
      </c>
      <c r="E13" t="s">
        <v>58</v>
      </c>
      <c r="F13" t="s">
        <v>52</v>
      </c>
      <c r="G13" s="6"/>
      <c r="K13" t="s">
        <v>59</v>
      </c>
      <c r="L13" t="s">
        <v>73</v>
      </c>
      <c r="M13" t="s">
        <v>74</v>
      </c>
      <c r="N13" t="s">
        <v>75</v>
      </c>
      <c r="O13" t="s">
        <v>76</v>
      </c>
      <c r="P13" t="s">
        <v>77</v>
      </c>
    </row>
    <row r="14" spans="1:16" x14ac:dyDescent="0.35">
      <c r="D14" s="5">
        <v>45505</v>
      </c>
      <c r="E14" t="s">
        <v>58</v>
      </c>
      <c r="F14" t="s">
        <v>53</v>
      </c>
      <c r="G14" s="6"/>
      <c r="K14" t="s">
        <v>70</v>
      </c>
      <c r="L14">
        <v>0</v>
      </c>
      <c r="M14">
        <v>188</v>
      </c>
      <c r="N14">
        <v>168</v>
      </c>
      <c r="O14">
        <v>0</v>
      </c>
      <c r="P14">
        <v>0</v>
      </c>
    </row>
    <row r="15" spans="1:16" x14ac:dyDescent="0.35">
      <c r="D15" s="5">
        <v>45506</v>
      </c>
      <c r="E15" t="s">
        <v>58</v>
      </c>
      <c r="G15" s="6"/>
      <c r="K15" t="s">
        <v>71</v>
      </c>
      <c r="L15">
        <v>1930</v>
      </c>
      <c r="O15" t="s">
        <v>1</v>
      </c>
      <c r="P15" t="s">
        <v>2</v>
      </c>
    </row>
    <row r="16" spans="1:16" x14ac:dyDescent="0.35">
      <c r="D16" s="5">
        <v>45507</v>
      </c>
      <c r="E16" t="s">
        <v>57</v>
      </c>
      <c r="F16" t="s">
        <v>42</v>
      </c>
      <c r="G16" s="6"/>
      <c r="L16">
        <v>1895</v>
      </c>
      <c r="M16" t="s">
        <v>41</v>
      </c>
      <c r="O16" t="s">
        <v>44</v>
      </c>
    </row>
    <row r="17" spans="4:12" x14ac:dyDescent="0.35">
      <c r="D17" s="5">
        <v>45508</v>
      </c>
      <c r="E17" t="s">
        <v>57</v>
      </c>
      <c r="F17" t="s">
        <v>56</v>
      </c>
      <c r="G17" s="6"/>
      <c r="L17">
        <v>1282</v>
      </c>
    </row>
    <row r="18" spans="4:12" x14ac:dyDescent="0.35">
      <c r="D18" s="5">
        <v>45509</v>
      </c>
      <c r="E18" t="s">
        <v>58</v>
      </c>
      <c r="F18" t="s">
        <v>50</v>
      </c>
      <c r="G18" s="6"/>
      <c r="L18">
        <v>1451</v>
      </c>
    </row>
    <row r="19" spans="4:12" x14ac:dyDescent="0.35">
      <c r="D19" s="5">
        <v>45510</v>
      </c>
      <c r="E19" t="s">
        <v>58</v>
      </c>
      <c r="F19" t="s">
        <v>51</v>
      </c>
      <c r="G19" s="6"/>
      <c r="L19">
        <v>1884</v>
      </c>
    </row>
    <row r="20" spans="4:12" x14ac:dyDescent="0.35">
      <c r="D20" s="5">
        <v>45511</v>
      </c>
      <c r="E20" t="s">
        <v>58</v>
      </c>
      <c r="F20" t="s">
        <v>52</v>
      </c>
      <c r="G20" s="6"/>
      <c r="L20">
        <v>1214</v>
      </c>
    </row>
    <row r="21" spans="4:12" x14ac:dyDescent="0.35">
      <c r="D21" s="5">
        <v>45512</v>
      </c>
      <c r="E21" t="s">
        <v>58</v>
      </c>
      <c r="F21" t="s">
        <v>53</v>
      </c>
      <c r="G21" s="6"/>
      <c r="L21">
        <v>1323</v>
      </c>
    </row>
    <row r="22" spans="4:12" x14ac:dyDescent="0.35">
      <c r="D22" s="5">
        <v>45513</v>
      </c>
      <c r="E22" t="s">
        <v>58</v>
      </c>
      <c r="F22" t="s">
        <v>54</v>
      </c>
      <c r="G22" s="6"/>
      <c r="L22">
        <v>1320</v>
      </c>
    </row>
    <row r="23" spans="4:12" x14ac:dyDescent="0.35">
      <c r="D23" s="5">
        <v>45514</v>
      </c>
      <c r="E23" t="s">
        <v>57</v>
      </c>
      <c r="F23" t="s">
        <v>55</v>
      </c>
      <c r="G23" s="6"/>
      <c r="L23">
        <v>1894</v>
      </c>
    </row>
    <row r="24" spans="4:12" x14ac:dyDescent="0.35">
      <c r="D24" s="5">
        <v>45515</v>
      </c>
      <c r="E24" t="s">
        <v>57</v>
      </c>
      <c r="F24" t="s">
        <v>56</v>
      </c>
      <c r="G24" s="6"/>
      <c r="L24">
        <v>1351</v>
      </c>
    </row>
    <row r="25" spans="4:12" x14ac:dyDescent="0.35">
      <c r="D25" s="5">
        <v>45516</v>
      </c>
      <c r="E25" t="s">
        <v>58</v>
      </c>
      <c r="F25" t="s">
        <v>50</v>
      </c>
      <c r="G25" s="6"/>
      <c r="L25">
        <v>1425</v>
      </c>
    </row>
    <row r="26" spans="4:12" x14ac:dyDescent="0.35">
      <c r="D26" s="5">
        <v>45517</v>
      </c>
      <c r="E26" t="s">
        <v>58</v>
      </c>
      <c r="F26" t="s">
        <v>51</v>
      </c>
      <c r="G26" s="6"/>
      <c r="L26">
        <v>1305</v>
      </c>
    </row>
    <row r="27" spans="4:12" x14ac:dyDescent="0.35">
      <c r="D27" s="5">
        <v>45518</v>
      </c>
      <c r="E27" t="s">
        <v>58</v>
      </c>
      <c r="F27" t="s">
        <v>52</v>
      </c>
      <c r="G27" s="6"/>
      <c r="L27">
        <v>1766</v>
      </c>
    </row>
    <row r="28" spans="4:12" x14ac:dyDescent="0.35">
      <c r="D28" s="5">
        <v>45519</v>
      </c>
      <c r="E28" t="s">
        <v>58</v>
      </c>
      <c r="F28" t="s">
        <v>53</v>
      </c>
      <c r="G28" s="6"/>
      <c r="L28">
        <v>1109</v>
      </c>
    </row>
    <row r="29" spans="4:12" x14ac:dyDescent="0.35">
      <c r="D29" s="5">
        <v>45520</v>
      </c>
      <c r="E29" t="s">
        <v>58</v>
      </c>
      <c r="F29" t="s">
        <v>54</v>
      </c>
      <c r="G29" s="6"/>
      <c r="L29">
        <v>1489</v>
      </c>
    </row>
    <row r="30" spans="4:12" x14ac:dyDescent="0.35">
      <c r="D30" s="5">
        <v>45521</v>
      </c>
      <c r="E30" t="s">
        <v>57</v>
      </c>
      <c r="F30" t="s">
        <v>55</v>
      </c>
      <c r="G30" s="6"/>
      <c r="L30">
        <v>1470</v>
      </c>
    </row>
    <row r="31" spans="4:12" x14ac:dyDescent="0.35">
      <c r="D31" s="5">
        <v>45522</v>
      </c>
      <c r="E31" t="s">
        <v>57</v>
      </c>
      <c r="F31" t="s">
        <v>56</v>
      </c>
      <c r="G31" s="6"/>
      <c r="L31">
        <v>1277</v>
      </c>
    </row>
    <row r="32" spans="4:12" x14ac:dyDescent="0.35">
      <c r="D32" s="5">
        <v>45523</v>
      </c>
      <c r="E32" t="s">
        <v>58</v>
      </c>
      <c r="F32" t="s">
        <v>50</v>
      </c>
      <c r="G32" s="6"/>
      <c r="L32">
        <v>1122</v>
      </c>
    </row>
    <row r="33" spans="4:12" x14ac:dyDescent="0.35">
      <c r="D33" s="5">
        <v>45524</v>
      </c>
      <c r="E33" t="s">
        <v>58</v>
      </c>
      <c r="F33" t="s">
        <v>51</v>
      </c>
      <c r="G33" s="6"/>
      <c r="L33">
        <v>1990</v>
      </c>
    </row>
    <row r="34" spans="4:12" x14ac:dyDescent="0.35">
      <c r="D34" s="5">
        <v>45525</v>
      </c>
      <c r="E34" t="s">
        <v>58</v>
      </c>
      <c r="F34" t="s">
        <v>52</v>
      </c>
      <c r="G34" s="6"/>
      <c r="L34">
        <v>1317</v>
      </c>
    </row>
    <row r="35" spans="4:12" x14ac:dyDescent="0.35">
      <c r="D35" s="5">
        <v>45526</v>
      </c>
      <c r="E35" t="s">
        <v>58</v>
      </c>
      <c r="F35" t="s">
        <v>53</v>
      </c>
      <c r="G35" s="6"/>
      <c r="L35">
        <v>1874</v>
      </c>
    </row>
    <row r="36" spans="4:12" x14ac:dyDescent="0.35">
      <c r="D36" s="5">
        <v>45527</v>
      </c>
      <c r="E36" t="s">
        <v>58</v>
      </c>
      <c r="F36" t="s">
        <v>54</v>
      </c>
      <c r="G36" s="6"/>
      <c r="L36">
        <v>1738</v>
      </c>
    </row>
    <row r="37" spans="4:12" x14ac:dyDescent="0.35">
      <c r="D37" s="5">
        <v>45528</v>
      </c>
      <c r="E37" t="s">
        <v>57</v>
      </c>
      <c r="F37" t="s">
        <v>55</v>
      </c>
      <c r="G37" s="6"/>
      <c r="L37">
        <v>1321</v>
      </c>
    </row>
    <row r="38" spans="4:12" x14ac:dyDescent="0.35">
      <c r="D38" s="5">
        <v>45529</v>
      </c>
      <c r="E38" t="s">
        <v>57</v>
      </c>
      <c r="F38" t="s">
        <v>56</v>
      </c>
      <c r="G38" s="6"/>
      <c r="L38">
        <v>1129</v>
      </c>
    </row>
    <row r="39" spans="4:12" x14ac:dyDescent="0.35">
      <c r="D39" s="5">
        <v>45530</v>
      </c>
      <c r="E39" t="s">
        <v>58</v>
      </c>
      <c r="F39" t="s">
        <v>50</v>
      </c>
      <c r="G39" s="6"/>
      <c r="L39">
        <v>1959</v>
      </c>
    </row>
    <row r="40" spans="4:12" x14ac:dyDescent="0.35">
      <c r="D40" s="5">
        <v>45531</v>
      </c>
      <c r="E40" t="s">
        <v>58</v>
      </c>
      <c r="F40" t="s">
        <v>51</v>
      </c>
      <c r="G40" s="6"/>
      <c r="L40">
        <v>1759</v>
      </c>
    </row>
    <row r="41" spans="4:12" x14ac:dyDescent="0.35">
      <c r="D41" s="5">
        <v>45532</v>
      </c>
      <c r="E41" t="s">
        <v>58</v>
      </c>
      <c r="F41" t="s">
        <v>52</v>
      </c>
      <c r="G41" s="6"/>
      <c r="L41">
        <v>1337</v>
      </c>
    </row>
    <row r="42" spans="4:12" x14ac:dyDescent="0.35">
      <c r="D42" s="5">
        <v>45533</v>
      </c>
      <c r="E42" t="s">
        <v>58</v>
      </c>
      <c r="F42" t="s">
        <v>53</v>
      </c>
      <c r="G42" s="6"/>
      <c r="L42">
        <v>1239</v>
      </c>
    </row>
    <row r="43" spans="4:12" x14ac:dyDescent="0.35">
      <c r="D43" s="5">
        <v>45534</v>
      </c>
      <c r="E43" t="s">
        <v>58</v>
      </c>
      <c r="F43" t="s">
        <v>54</v>
      </c>
      <c r="G43" s="6"/>
      <c r="L43">
        <v>1444</v>
      </c>
    </row>
    <row r="44" spans="4:12" x14ac:dyDescent="0.35">
      <c r="D44" s="5">
        <v>45535</v>
      </c>
      <c r="E44" t="s">
        <v>57</v>
      </c>
      <c r="F44" t="s">
        <v>55</v>
      </c>
      <c r="G44" s="6"/>
      <c r="L44">
        <v>1170</v>
      </c>
    </row>
    <row r="45" spans="4:12" x14ac:dyDescent="0.35">
      <c r="D45" s="5">
        <v>45536</v>
      </c>
      <c r="E45" t="s">
        <v>57</v>
      </c>
      <c r="F45" t="s">
        <v>56</v>
      </c>
      <c r="G45" s="6"/>
      <c r="L45">
        <v>1752</v>
      </c>
    </row>
    <row r="46" spans="4:12" x14ac:dyDescent="0.35">
      <c r="D46" s="5">
        <v>45537</v>
      </c>
      <c r="E46" t="s">
        <v>58</v>
      </c>
      <c r="F46" t="s">
        <v>50</v>
      </c>
      <c r="G46" s="6"/>
      <c r="L46">
        <v>1827</v>
      </c>
    </row>
    <row r="47" spans="4:12" x14ac:dyDescent="0.35">
      <c r="D47" s="5">
        <v>45538</v>
      </c>
      <c r="E47" t="s">
        <v>58</v>
      </c>
      <c r="F47" t="s">
        <v>51</v>
      </c>
      <c r="G47" s="6"/>
      <c r="L47">
        <v>1378</v>
      </c>
    </row>
    <row r="48" spans="4:12" x14ac:dyDescent="0.35">
      <c r="D48" s="5">
        <v>45539</v>
      </c>
      <c r="E48" t="s">
        <v>58</v>
      </c>
      <c r="F48" t="s">
        <v>52</v>
      </c>
      <c r="G48" s="6"/>
      <c r="L48">
        <v>1315</v>
      </c>
    </row>
    <row r="49" spans="4:12" x14ac:dyDescent="0.35">
      <c r="D49" s="5">
        <v>45540</v>
      </c>
      <c r="E49" t="s">
        <v>58</v>
      </c>
      <c r="F49" t="s">
        <v>53</v>
      </c>
      <c r="G49" s="6"/>
      <c r="L49">
        <v>1582</v>
      </c>
    </row>
    <row r="50" spans="4:12" x14ac:dyDescent="0.35">
      <c r="D50" s="5">
        <v>45541</v>
      </c>
      <c r="E50" t="s">
        <v>58</v>
      </c>
      <c r="F50" t="s">
        <v>54</v>
      </c>
      <c r="G50" s="6"/>
      <c r="L50">
        <v>1217</v>
      </c>
    </row>
    <row r="51" spans="4:12" x14ac:dyDescent="0.35">
      <c r="D51" s="7">
        <v>45542</v>
      </c>
      <c r="E51" s="8" t="s">
        <v>57</v>
      </c>
      <c r="F51" s="8" t="s">
        <v>55</v>
      </c>
      <c r="G51" s="9"/>
      <c r="L51">
        <v>1890</v>
      </c>
    </row>
    <row r="52" spans="4:12" x14ac:dyDescent="0.35">
      <c r="L52">
        <v>1437</v>
      </c>
    </row>
    <row r="53" spans="4:12" x14ac:dyDescent="0.35">
      <c r="L53">
        <v>1785</v>
      </c>
    </row>
    <row r="54" spans="4:12" x14ac:dyDescent="0.35">
      <c r="L54">
        <v>1132</v>
      </c>
    </row>
    <row r="55" spans="4:12" x14ac:dyDescent="0.35">
      <c r="L55">
        <v>1119</v>
      </c>
    </row>
    <row r="56" spans="4:12" x14ac:dyDescent="0.35">
      <c r="L56">
        <v>1168</v>
      </c>
    </row>
    <row r="57" spans="4:12" x14ac:dyDescent="0.35">
      <c r="L57">
        <v>1116</v>
      </c>
    </row>
    <row r="58" spans="4:12" x14ac:dyDescent="0.35">
      <c r="L58">
        <v>2758</v>
      </c>
    </row>
    <row r="59" spans="4:12" x14ac:dyDescent="0.35">
      <c r="L59">
        <v>2130</v>
      </c>
    </row>
    <row r="60" spans="4:12" x14ac:dyDescent="0.35">
      <c r="L60">
        <v>2558</v>
      </c>
    </row>
    <row r="61" spans="4:12" x14ac:dyDescent="0.35">
      <c r="L61">
        <v>2550</v>
      </c>
    </row>
    <row r="62" spans="4:12" x14ac:dyDescent="0.35">
      <c r="L62">
        <v>2453</v>
      </c>
    </row>
    <row r="63" spans="4:12" x14ac:dyDescent="0.35">
      <c r="L63">
        <v>2651</v>
      </c>
    </row>
    <row r="64" spans="4:12" x14ac:dyDescent="0.35">
      <c r="L64">
        <v>2487</v>
      </c>
    </row>
    <row r="65" spans="12:12" x14ac:dyDescent="0.35">
      <c r="L65">
        <v>2220</v>
      </c>
    </row>
    <row r="66" spans="12:12" x14ac:dyDescent="0.35">
      <c r="L66">
        <v>2530</v>
      </c>
    </row>
    <row r="67" spans="12:12" x14ac:dyDescent="0.35">
      <c r="L67">
        <v>2423</v>
      </c>
    </row>
    <row r="68" spans="12:12" x14ac:dyDescent="0.35">
      <c r="L68">
        <v>2700</v>
      </c>
    </row>
    <row r="69" spans="12:12" x14ac:dyDescent="0.35">
      <c r="L69">
        <v>2877</v>
      </c>
    </row>
  </sheetData>
  <mergeCells count="3">
    <mergeCell ref="D1:G1"/>
    <mergeCell ref="K2:P2"/>
    <mergeCell ref="K12:P12"/>
  </mergeCells>
  <phoneticPr fontId="3" type="noConversion"/>
  <pageMargins left="0.7" right="0.7" top="0.75" bottom="0.75" header="0.3" footer="0.3"/>
  <pageSetup paperSize="9" orientation="portrait" horizontalDpi="300" verticalDpi="3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99A03-57AA-4A14-BA3D-F486DC692944}">
  <sheetPr codeName="Feuil2"/>
  <dimension ref="A1:L307"/>
  <sheetViews>
    <sheetView tabSelected="1" workbookViewId="0">
      <selection activeCell="B276" sqref="B276"/>
    </sheetView>
  </sheetViews>
  <sheetFormatPr baseColWidth="10" defaultRowHeight="14.5" x14ac:dyDescent="0.35"/>
  <cols>
    <col min="1" max="1" width="10.90625" style="13"/>
    <col min="8" max="8" width="10.90625" style="16"/>
    <col min="11" max="11" width="11.453125" style="14" bestFit="1" customWidth="1"/>
  </cols>
  <sheetData>
    <row r="1" spans="1:12" x14ac:dyDescent="0.35">
      <c r="A1" s="13" t="s">
        <v>49</v>
      </c>
      <c r="B1" t="s">
        <v>73</v>
      </c>
      <c r="C1" t="s">
        <v>63</v>
      </c>
      <c r="D1" t="s">
        <v>78</v>
      </c>
      <c r="E1" t="s">
        <v>41</v>
      </c>
      <c r="F1" t="s">
        <v>42</v>
      </c>
      <c r="G1" t="s">
        <v>79</v>
      </c>
      <c r="H1" s="15" t="s">
        <v>61</v>
      </c>
      <c r="I1" t="s">
        <v>60</v>
      </c>
      <c r="J1" t="s">
        <v>80</v>
      </c>
      <c r="K1" s="14" t="s">
        <v>64</v>
      </c>
      <c r="L1" t="s">
        <v>77</v>
      </c>
    </row>
    <row r="2" spans="1:12" x14ac:dyDescent="0.35">
      <c r="A2" s="13">
        <v>44593</v>
      </c>
      <c r="B2">
        <v>1930</v>
      </c>
      <c r="C2">
        <v>250</v>
      </c>
      <c r="D2" t="s">
        <v>0</v>
      </c>
      <c r="F2" s="2"/>
      <c r="G2" t="s">
        <v>1</v>
      </c>
      <c r="H2" s="16">
        <v>0.05</v>
      </c>
      <c r="I2">
        <v>1.57</v>
      </c>
      <c r="J2">
        <v>396</v>
      </c>
      <c r="K2" s="14">
        <f>J2*I2</f>
        <v>621.72</v>
      </c>
      <c r="L2" t="s">
        <v>2</v>
      </c>
    </row>
    <row r="3" spans="1:12" x14ac:dyDescent="0.35">
      <c r="A3" s="13">
        <v>44593</v>
      </c>
      <c r="B3">
        <v>1895</v>
      </c>
      <c r="C3">
        <v>500</v>
      </c>
      <c r="D3" t="s">
        <v>3</v>
      </c>
      <c r="F3" s="2"/>
      <c r="G3" t="s">
        <v>1</v>
      </c>
      <c r="H3" s="16">
        <v>0.05</v>
      </c>
      <c r="I3">
        <v>1.24</v>
      </c>
      <c r="J3">
        <v>3883</v>
      </c>
      <c r="K3" s="14">
        <f t="shared" ref="K3:K44" si="0">J3*I3</f>
        <v>4814.92</v>
      </c>
      <c r="L3" t="s">
        <v>2</v>
      </c>
    </row>
    <row r="4" spans="1:12" x14ac:dyDescent="0.35">
      <c r="A4" s="13">
        <v>44593</v>
      </c>
      <c r="B4">
        <v>1282</v>
      </c>
      <c r="C4">
        <v>500</v>
      </c>
      <c r="D4" t="s">
        <v>4</v>
      </c>
      <c r="F4" s="2"/>
      <c r="G4" t="s">
        <v>1</v>
      </c>
      <c r="H4" s="16">
        <v>0.05</v>
      </c>
      <c r="I4">
        <v>1.55</v>
      </c>
      <c r="J4">
        <v>496</v>
      </c>
      <c r="K4" s="14">
        <f t="shared" si="0"/>
        <v>768.80000000000007</v>
      </c>
      <c r="L4" t="s">
        <v>2</v>
      </c>
    </row>
    <row r="5" spans="1:12" x14ac:dyDescent="0.35">
      <c r="A5" s="13">
        <v>44593</v>
      </c>
      <c r="B5">
        <v>1451</v>
      </c>
      <c r="C5">
        <v>500</v>
      </c>
      <c r="D5" t="s">
        <v>5</v>
      </c>
      <c r="F5" s="2"/>
      <c r="G5" t="s">
        <v>1</v>
      </c>
      <c r="H5" s="16">
        <v>0.05</v>
      </c>
      <c r="I5">
        <v>1.61</v>
      </c>
      <c r="J5">
        <v>455</v>
      </c>
      <c r="K5" s="14">
        <f t="shared" si="0"/>
        <v>732.55000000000007</v>
      </c>
      <c r="L5" t="s">
        <v>2</v>
      </c>
    </row>
    <row r="6" spans="1:12" x14ac:dyDescent="0.35">
      <c r="A6" s="13">
        <v>44593</v>
      </c>
      <c r="B6">
        <v>1884</v>
      </c>
      <c r="C6">
        <v>500</v>
      </c>
      <c r="D6" t="s">
        <v>6</v>
      </c>
      <c r="E6" t="s">
        <v>41</v>
      </c>
      <c r="F6" s="2"/>
      <c r="G6" t="s">
        <v>1</v>
      </c>
      <c r="H6" s="16">
        <v>0.05</v>
      </c>
      <c r="I6">
        <v>2.6</v>
      </c>
      <c r="J6">
        <v>346</v>
      </c>
      <c r="K6" s="14">
        <f t="shared" si="0"/>
        <v>899.6</v>
      </c>
      <c r="L6" t="s">
        <v>2</v>
      </c>
    </row>
    <row r="7" spans="1:12" x14ac:dyDescent="0.35">
      <c r="A7" s="13">
        <v>44593</v>
      </c>
      <c r="B7">
        <v>1214</v>
      </c>
      <c r="C7">
        <v>500</v>
      </c>
      <c r="D7" t="s">
        <v>6</v>
      </c>
      <c r="F7" s="2"/>
      <c r="G7" t="s">
        <v>1</v>
      </c>
      <c r="H7" s="16">
        <v>0.05</v>
      </c>
      <c r="I7">
        <v>1.04</v>
      </c>
      <c r="J7">
        <v>3104</v>
      </c>
      <c r="K7" s="14">
        <f t="shared" si="0"/>
        <v>3228.1600000000003</v>
      </c>
      <c r="L7" t="s">
        <v>2</v>
      </c>
    </row>
    <row r="8" spans="1:12" x14ac:dyDescent="0.35">
      <c r="A8" s="13">
        <v>44593</v>
      </c>
      <c r="B8">
        <v>1323</v>
      </c>
      <c r="C8">
        <v>500</v>
      </c>
      <c r="D8" t="s">
        <v>6</v>
      </c>
      <c r="F8" s="2" t="s">
        <v>42</v>
      </c>
      <c r="G8" t="s">
        <v>1</v>
      </c>
      <c r="H8" s="16">
        <v>0.05</v>
      </c>
      <c r="I8">
        <v>1.08</v>
      </c>
      <c r="J8">
        <v>1130</v>
      </c>
      <c r="K8" s="14">
        <f t="shared" si="0"/>
        <v>1220.4000000000001</v>
      </c>
      <c r="L8" t="s">
        <v>2</v>
      </c>
    </row>
    <row r="9" spans="1:12" x14ac:dyDescent="0.35">
      <c r="A9" s="13">
        <v>44593</v>
      </c>
      <c r="B9">
        <v>1320</v>
      </c>
      <c r="C9">
        <v>1000</v>
      </c>
      <c r="D9" t="s">
        <v>6</v>
      </c>
      <c r="F9" s="2"/>
      <c r="G9" t="s">
        <v>1</v>
      </c>
      <c r="H9" s="16">
        <v>0.05</v>
      </c>
      <c r="I9">
        <v>2</v>
      </c>
      <c r="J9">
        <v>748</v>
      </c>
      <c r="K9" s="14">
        <f t="shared" si="0"/>
        <v>1496</v>
      </c>
      <c r="L9" t="s">
        <v>2</v>
      </c>
    </row>
    <row r="10" spans="1:12" x14ac:dyDescent="0.35">
      <c r="A10" s="13">
        <v>44593</v>
      </c>
      <c r="B10">
        <v>1894</v>
      </c>
      <c r="C10">
        <v>500</v>
      </c>
      <c r="D10" t="s">
        <v>7</v>
      </c>
      <c r="F10" s="2"/>
      <c r="G10" t="s">
        <v>1</v>
      </c>
      <c r="H10" s="16">
        <v>0.05</v>
      </c>
      <c r="I10">
        <v>1.17</v>
      </c>
      <c r="J10">
        <v>1531</v>
      </c>
      <c r="K10" s="14">
        <f t="shared" si="0"/>
        <v>1791.27</v>
      </c>
      <c r="L10" t="s">
        <v>2</v>
      </c>
    </row>
    <row r="11" spans="1:12" x14ac:dyDescent="0.35">
      <c r="A11" s="13">
        <v>44593</v>
      </c>
      <c r="B11">
        <v>1351</v>
      </c>
      <c r="C11">
        <v>1000</v>
      </c>
      <c r="D11" t="s">
        <v>7</v>
      </c>
      <c r="F11" s="2"/>
      <c r="G11" t="s">
        <v>1</v>
      </c>
      <c r="H11" s="16">
        <v>0.05</v>
      </c>
      <c r="I11">
        <v>2.2000000000000002</v>
      </c>
      <c r="J11">
        <v>579</v>
      </c>
      <c r="K11" s="14">
        <f t="shared" si="0"/>
        <v>1273.8000000000002</v>
      </c>
      <c r="L11" t="s">
        <v>2</v>
      </c>
    </row>
    <row r="12" spans="1:12" x14ac:dyDescent="0.35">
      <c r="A12" s="13">
        <v>44593</v>
      </c>
      <c r="B12">
        <v>1425</v>
      </c>
      <c r="C12">
        <v>500</v>
      </c>
      <c r="D12" t="s">
        <v>7</v>
      </c>
      <c r="F12" s="2" t="s">
        <v>42</v>
      </c>
      <c r="G12" t="s">
        <v>1</v>
      </c>
      <c r="H12" s="16">
        <v>0.05</v>
      </c>
      <c r="I12">
        <v>1.74</v>
      </c>
      <c r="J12">
        <v>279</v>
      </c>
      <c r="K12" s="14">
        <f t="shared" si="0"/>
        <v>485.46</v>
      </c>
      <c r="L12" t="s">
        <v>2</v>
      </c>
    </row>
    <row r="13" spans="1:12" x14ac:dyDescent="0.35">
      <c r="A13" s="13">
        <v>44593</v>
      </c>
      <c r="B13">
        <v>1305</v>
      </c>
      <c r="C13">
        <v>500</v>
      </c>
      <c r="D13" t="s">
        <v>8</v>
      </c>
      <c r="F13" s="2"/>
      <c r="G13" t="s">
        <v>1</v>
      </c>
      <c r="H13" s="16">
        <v>0.05</v>
      </c>
      <c r="I13">
        <v>1.44</v>
      </c>
      <c r="J13">
        <v>310</v>
      </c>
      <c r="K13" s="14">
        <f t="shared" si="0"/>
        <v>446.4</v>
      </c>
      <c r="L13" t="s">
        <v>2</v>
      </c>
    </row>
    <row r="14" spans="1:12" x14ac:dyDescent="0.35">
      <c r="A14" s="13">
        <v>44593</v>
      </c>
      <c r="B14">
        <v>1766</v>
      </c>
      <c r="C14">
        <v>500</v>
      </c>
      <c r="D14" t="s">
        <v>9</v>
      </c>
      <c r="F14" s="2"/>
      <c r="G14" t="s">
        <v>1</v>
      </c>
      <c r="H14" s="16">
        <v>0.05</v>
      </c>
      <c r="I14">
        <v>1.49</v>
      </c>
      <c r="J14">
        <v>1176</v>
      </c>
      <c r="K14" s="14">
        <f t="shared" si="0"/>
        <v>1752.24</v>
      </c>
      <c r="L14" t="s">
        <v>2</v>
      </c>
    </row>
    <row r="15" spans="1:12" x14ac:dyDescent="0.35">
      <c r="A15" s="13">
        <v>44593</v>
      </c>
      <c r="B15">
        <v>1109</v>
      </c>
      <c r="C15">
        <v>250</v>
      </c>
      <c r="D15" t="s">
        <v>10</v>
      </c>
      <c r="F15" s="2"/>
      <c r="G15" t="s">
        <v>1</v>
      </c>
      <c r="H15" s="16">
        <v>0.05</v>
      </c>
      <c r="I15">
        <v>1.8</v>
      </c>
      <c r="J15">
        <v>337</v>
      </c>
      <c r="K15" s="14">
        <f t="shared" si="0"/>
        <v>606.6</v>
      </c>
      <c r="L15" t="s">
        <v>2</v>
      </c>
    </row>
    <row r="16" spans="1:12" x14ac:dyDescent="0.35">
      <c r="A16" s="13">
        <v>44593</v>
      </c>
      <c r="B16">
        <v>1489</v>
      </c>
      <c r="C16">
        <v>500</v>
      </c>
      <c r="D16" t="s">
        <v>11</v>
      </c>
      <c r="F16" s="2"/>
      <c r="G16" t="s">
        <v>1</v>
      </c>
      <c r="H16" s="16">
        <v>0.05</v>
      </c>
      <c r="I16">
        <v>1.04</v>
      </c>
      <c r="J16">
        <v>954</v>
      </c>
      <c r="K16" s="14">
        <f t="shared" si="0"/>
        <v>992.16000000000008</v>
      </c>
      <c r="L16" t="s">
        <v>2</v>
      </c>
    </row>
    <row r="17" spans="1:12" x14ac:dyDescent="0.35">
      <c r="A17" s="13">
        <v>44593</v>
      </c>
      <c r="B17">
        <v>1470</v>
      </c>
      <c r="C17">
        <v>500</v>
      </c>
      <c r="D17" t="s">
        <v>12</v>
      </c>
      <c r="F17" s="2"/>
      <c r="G17" t="s">
        <v>1</v>
      </c>
      <c r="H17" s="16">
        <v>0.05</v>
      </c>
      <c r="I17">
        <v>1.56</v>
      </c>
      <c r="J17">
        <v>280</v>
      </c>
      <c r="K17" s="14">
        <f t="shared" si="0"/>
        <v>436.8</v>
      </c>
      <c r="L17" t="s">
        <v>2</v>
      </c>
    </row>
    <row r="18" spans="1:12" x14ac:dyDescent="0.35">
      <c r="A18" s="13">
        <v>44593</v>
      </c>
      <c r="B18">
        <v>1277</v>
      </c>
      <c r="C18">
        <v>500</v>
      </c>
      <c r="D18" t="s">
        <v>13</v>
      </c>
      <c r="F18" s="2"/>
      <c r="G18" t="s">
        <v>1</v>
      </c>
      <c r="H18" s="16">
        <v>0.05</v>
      </c>
      <c r="I18">
        <v>1.6</v>
      </c>
      <c r="J18">
        <v>170</v>
      </c>
      <c r="K18" s="14">
        <f t="shared" si="0"/>
        <v>272</v>
      </c>
      <c r="L18" t="s">
        <v>2</v>
      </c>
    </row>
    <row r="19" spans="1:12" x14ac:dyDescent="0.35">
      <c r="A19" s="13">
        <v>44593</v>
      </c>
      <c r="B19">
        <v>1122</v>
      </c>
      <c r="C19">
        <v>500</v>
      </c>
      <c r="D19" t="s">
        <v>14</v>
      </c>
      <c r="F19" s="2"/>
      <c r="G19" t="s">
        <v>1</v>
      </c>
      <c r="H19" s="16">
        <v>0.05</v>
      </c>
      <c r="I19">
        <v>1.87</v>
      </c>
      <c r="J19">
        <v>2055</v>
      </c>
      <c r="K19" s="14">
        <f t="shared" si="0"/>
        <v>3842.8500000000004</v>
      </c>
      <c r="L19" t="s">
        <v>2</v>
      </c>
    </row>
    <row r="20" spans="1:12" x14ac:dyDescent="0.35">
      <c r="A20" s="13">
        <v>44593</v>
      </c>
      <c r="B20">
        <v>1990</v>
      </c>
      <c r="C20">
        <v>500</v>
      </c>
      <c r="D20" t="s">
        <v>15</v>
      </c>
      <c r="F20" s="2"/>
      <c r="G20" t="s">
        <v>1</v>
      </c>
      <c r="H20" s="16">
        <v>0.05</v>
      </c>
      <c r="I20">
        <v>1.61</v>
      </c>
      <c r="J20">
        <v>4121</v>
      </c>
      <c r="K20" s="14">
        <f t="shared" si="0"/>
        <v>6634.81</v>
      </c>
      <c r="L20" t="s">
        <v>2</v>
      </c>
    </row>
    <row r="21" spans="1:12" x14ac:dyDescent="0.35">
      <c r="A21" s="13">
        <v>44593</v>
      </c>
      <c r="B21">
        <v>1317</v>
      </c>
      <c r="C21">
        <v>500</v>
      </c>
      <c r="D21" t="s">
        <v>16</v>
      </c>
      <c r="F21" s="2"/>
      <c r="G21" t="s">
        <v>1</v>
      </c>
      <c r="H21" s="16">
        <v>0.05</v>
      </c>
      <c r="I21">
        <v>1.24</v>
      </c>
      <c r="J21">
        <v>772</v>
      </c>
      <c r="K21" s="14">
        <f t="shared" si="0"/>
        <v>957.28</v>
      </c>
      <c r="L21" t="s">
        <v>2</v>
      </c>
    </row>
    <row r="22" spans="1:12" x14ac:dyDescent="0.35">
      <c r="A22" s="13">
        <v>44593</v>
      </c>
      <c r="B22">
        <v>1874</v>
      </c>
      <c r="C22">
        <v>500</v>
      </c>
      <c r="D22" t="s">
        <v>17</v>
      </c>
      <c r="F22" s="2"/>
      <c r="G22" t="s">
        <v>1</v>
      </c>
      <c r="H22" s="16">
        <v>0.05</v>
      </c>
      <c r="I22">
        <v>1.29</v>
      </c>
      <c r="J22">
        <v>1262</v>
      </c>
      <c r="K22" s="14">
        <f t="shared" si="0"/>
        <v>1627.98</v>
      </c>
      <c r="L22" t="s">
        <v>2</v>
      </c>
    </row>
    <row r="23" spans="1:12" x14ac:dyDescent="0.35">
      <c r="A23" s="13">
        <v>44593</v>
      </c>
      <c r="B23">
        <v>1738</v>
      </c>
      <c r="C23">
        <v>500</v>
      </c>
      <c r="D23" t="s">
        <v>18</v>
      </c>
      <c r="F23" s="2"/>
      <c r="G23" t="s">
        <v>1</v>
      </c>
      <c r="H23" s="16">
        <v>0.05</v>
      </c>
      <c r="I23">
        <v>1.32</v>
      </c>
      <c r="J23">
        <v>285</v>
      </c>
      <c r="K23" s="14">
        <f t="shared" si="0"/>
        <v>376.20000000000005</v>
      </c>
      <c r="L23" t="s">
        <v>2</v>
      </c>
    </row>
    <row r="24" spans="1:12" x14ac:dyDescent="0.35">
      <c r="A24" s="13">
        <v>44593</v>
      </c>
      <c r="B24">
        <v>1321</v>
      </c>
      <c r="C24">
        <v>500</v>
      </c>
      <c r="D24" t="s">
        <v>7</v>
      </c>
      <c r="F24" s="2" t="s">
        <v>42</v>
      </c>
      <c r="G24" t="s">
        <v>1</v>
      </c>
      <c r="H24" s="16">
        <v>0.05</v>
      </c>
      <c r="I24">
        <v>1.57</v>
      </c>
      <c r="J24">
        <v>235</v>
      </c>
      <c r="K24" s="14">
        <f t="shared" si="0"/>
        <v>368.95</v>
      </c>
      <c r="L24" t="s">
        <v>2</v>
      </c>
    </row>
    <row r="25" spans="1:12" x14ac:dyDescent="0.35">
      <c r="A25" s="13">
        <v>44593</v>
      </c>
      <c r="B25">
        <v>1129</v>
      </c>
      <c r="C25">
        <v>500</v>
      </c>
      <c r="D25" t="s">
        <v>19</v>
      </c>
      <c r="F25" s="2"/>
      <c r="G25" t="s">
        <v>1</v>
      </c>
      <c r="H25" s="16">
        <v>0.05</v>
      </c>
      <c r="I25">
        <v>1.3</v>
      </c>
      <c r="J25">
        <v>1450</v>
      </c>
      <c r="K25" s="14">
        <f t="shared" si="0"/>
        <v>1885</v>
      </c>
      <c r="L25" t="s">
        <v>2</v>
      </c>
    </row>
    <row r="26" spans="1:12" x14ac:dyDescent="0.35">
      <c r="A26" s="13">
        <v>44593</v>
      </c>
      <c r="B26">
        <v>1959</v>
      </c>
      <c r="C26">
        <v>500</v>
      </c>
      <c r="D26" t="s">
        <v>20</v>
      </c>
      <c r="F26" s="2" t="s">
        <v>42</v>
      </c>
      <c r="G26" t="s">
        <v>1</v>
      </c>
      <c r="H26" s="16">
        <v>0.05</v>
      </c>
      <c r="I26">
        <v>1.53</v>
      </c>
      <c r="J26">
        <v>712</v>
      </c>
      <c r="K26" s="14">
        <f t="shared" si="0"/>
        <v>1089.3600000000001</v>
      </c>
      <c r="L26" t="s">
        <v>2</v>
      </c>
    </row>
    <row r="27" spans="1:12" x14ac:dyDescent="0.35">
      <c r="A27" s="13">
        <v>44593</v>
      </c>
      <c r="B27">
        <v>1759</v>
      </c>
      <c r="C27">
        <v>1000</v>
      </c>
      <c r="D27" t="s">
        <v>20</v>
      </c>
      <c r="F27" s="2"/>
      <c r="G27" t="s">
        <v>1</v>
      </c>
      <c r="H27" s="16">
        <v>0.05</v>
      </c>
      <c r="I27">
        <v>1.9</v>
      </c>
      <c r="J27">
        <v>2567</v>
      </c>
      <c r="K27" s="14">
        <f t="shared" si="0"/>
        <v>4877.3</v>
      </c>
      <c r="L27" t="s">
        <v>2</v>
      </c>
    </row>
    <row r="28" spans="1:12" x14ac:dyDescent="0.35">
      <c r="A28" s="13">
        <v>44593</v>
      </c>
      <c r="B28">
        <v>1337</v>
      </c>
      <c r="C28">
        <v>500</v>
      </c>
      <c r="D28" t="s">
        <v>20</v>
      </c>
      <c r="E28" t="s">
        <v>41</v>
      </c>
      <c r="F28" s="2"/>
      <c r="G28" t="s">
        <v>1</v>
      </c>
      <c r="H28" s="16">
        <v>0.05</v>
      </c>
      <c r="I28">
        <v>2.67</v>
      </c>
      <c r="J28">
        <v>580</v>
      </c>
      <c r="K28" s="14">
        <f t="shared" si="0"/>
        <v>1548.6</v>
      </c>
      <c r="L28" t="s">
        <v>2</v>
      </c>
    </row>
    <row r="29" spans="1:12" x14ac:dyDescent="0.35">
      <c r="A29" s="13">
        <v>44593</v>
      </c>
      <c r="B29">
        <v>1239</v>
      </c>
      <c r="C29">
        <v>500</v>
      </c>
      <c r="D29" t="s">
        <v>20</v>
      </c>
      <c r="F29" s="2"/>
      <c r="G29" t="s">
        <v>1</v>
      </c>
      <c r="H29" s="16">
        <v>0.05</v>
      </c>
      <c r="I29">
        <v>1.2</v>
      </c>
      <c r="J29">
        <v>2412</v>
      </c>
      <c r="K29" s="14">
        <f t="shared" si="0"/>
        <v>2894.4</v>
      </c>
      <c r="L29" t="s">
        <v>2</v>
      </c>
    </row>
    <row r="30" spans="1:12" x14ac:dyDescent="0.35">
      <c r="A30" s="13">
        <v>44593</v>
      </c>
      <c r="B30">
        <v>1444</v>
      </c>
      <c r="C30">
        <v>500</v>
      </c>
      <c r="D30" t="s">
        <v>21</v>
      </c>
      <c r="F30" s="2"/>
      <c r="G30" t="s">
        <v>1</v>
      </c>
      <c r="H30" s="16">
        <v>0.05</v>
      </c>
      <c r="I30">
        <v>1.32</v>
      </c>
      <c r="J30">
        <v>833</v>
      </c>
      <c r="K30" s="14">
        <f t="shared" si="0"/>
        <v>1099.56</v>
      </c>
      <c r="L30" t="s">
        <v>2</v>
      </c>
    </row>
    <row r="31" spans="1:12" x14ac:dyDescent="0.35">
      <c r="A31" s="13">
        <v>44593</v>
      </c>
      <c r="B31">
        <v>1170</v>
      </c>
      <c r="C31">
        <v>1000</v>
      </c>
      <c r="D31" t="s">
        <v>22</v>
      </c>
      <c r="F31" s="2"/>
      <c r="G31" t="s">
        <v>1</v>
      </c>
      <c r="H31" s="16">
        <v>0.05</v>
      </c>
      <c r="I31">
        <v>1.76</v>
      </c>
      <c r="J31">
        <v>2544</v>
      </c>
      <c r="K31" s="14">
        <f t="shared" si="0"/>
        <v>4477.4399999999996</v>
      </c>
      <c r="L31" t="s">
        <v>2</v>
      </c>
    </row>
    <row r="32" spans="1:12" x14ac:dyDescent="0.35">
      <c r="A32" s="13">
        <v>44593</v>
      </c>
      <c r="B32">
        <v>1752</v>
      </c>
      <c r="C32">
        <v>500</v>
      </c>
      <c r="D32" t="s">
        <v>22</v>
      </c>
      <c r="F32" s="2"/>
      <c r="G32" t="s">
        <v>1</v>
      </c>
      <c r="H32" s="16">
        <v>0.05</v>
      </c>
      <c r="I32">
        <v>0.94</v>
      </c>
      <c r="J32">
        <v>3974</v>
      </c>
      <c r="K32" s="14">
        <f t="shared" si="0"/>
        <v>3735.56</v>
      </c>
      <c r="L32" t="s">
        <v>2</v>
      </c>
    </row>
    <row r="33" spans="1:12" x14ac:dyDescent="0.35">
      <c r="A33" s="13">
        <v>44593</v>
      </c>
      <c r="B33">
        <v>1827</v>
      </c>
      <c r="C33">
        <v>500</v>
      </c>
      <c r="D33" t="s">
        <v>22</v>
      </c>
      <c r="E33" t="s">
        <v>41</v>
      </c>
      <c r="F33" s="2"/>
      <c r="G33" t="s">
        <v>1</v>
      </c>
      <c r="H33" s="16">
        <v>0.05</v>
      </c>
      <c r="I33">
        <v>2.59</v>
      </c>
      <c r="J33">
        <v>1310</v>
      </c>
      <c r="K33" s="14">
        <f t="shared" si="0"/>
        <v>3392.8999999999996</v>
      </c>
      <c r="L33" t="s">
        <v>2</v>
      </c>
    </row>
    <row r="34" spans="1:12" x14ac:dyDescent="0.35">
      <c r="A34" s="13">
        <v>44593</v>
      </c>
      <c r="B34">
        <v>1378</v>
      </c>
      <c r="C34">
        <v>500</v>
      </c>
      <c r="D34" t="s">
        <v>22</v>
      </c>
      <c r="F34" s="2" t="s">
        <v>42</v>
      </c>
      <c r="G34" t="s">
        <v>1</v>
      </c>
      <c r="H34" s="16">
        <v>0.05</v>
      </c>
      <c r="I34">
        <v>1.51</v>
      </c>
      <c r="J34">
        <v>255</v>
      </c>
      <c r="K34" s="14">
        <f t="shared" si="0"/>
        <v>385.05</v>
      </c>
      <c r="L34" t="s">
        <v>2</v>
      </c>
    </row>
    <row r="35" spans="1:12" x14ac:dyDescent="0.35">
      <c r="A35" s="13">
        <v>44593</v>
      </c>
      <c r="B35">
        <v>1315</v>
      </c>
      <c r="C35">
        <v>500</v>
      </c>
      <c r="D35" t="s">
        <v>24</v>
      </c>
      <c r="F35" s="2"/>
      <c r="G35" t="s">
        <v>1</v>
      </c>
      <c r="H35" s="16">
        <v>0.05</v>
      </c>
      <c r="I35">
        <v>1.46</v>
      </c>
      <c r="J35">
        <v>654</v>
      </c>
      <c r="K35" s="14">
        <f t="shared" si="0"/>
        <v>954.84</v>
      </c>
      <c r="L35" t="s">
        <v>2</v>
      </c>
    </row>
    <row r="36" spans="1:12" x14ac:dyDescent="0.35">
      <c r="A36" s="13">
        <v>44593</v>
      </c>
      <c r="B36">
        <v>1582</v>
      </c>
      <c r="C36">
        <v>500</v>
      </c>
      <c r="D36" t="s">
        <v>23</v>
      </c>
      <c r="F36" s="2"/>
      <c r="G36" t="s">
        <v>1</v>
      </c>
      <c r="H36" s="16">
        <v>0.05</v>
      </c>
      <c r="I36">
        <v>1.06</v>
      </c>
      <c r="J36">
        <v>2109</v>
      </c>
      <c r="K36" s="14">
        <f t="shared" si="0"/>
        <v>2235.54</v>
      </c>
      <c r="L36" t="s">
        <v>2</v>
      </c>
    </row>
    <row r="37" spans="1:12" x14ac:dyDescent="0.35">
      <c r="A37" s="13">
        <v>44593</v>
      </c>
      <c r="B37">
        <v>1217</v>
      </c>
      <c r="C37">
        <v>500</v>
      </c>
      <c r="D37" t="s">
        <v>25</v>
      </c>
      <c r="F37" s="2"/>
      <c r="G37" t="s">
        <v>1</v>
      </c>
      <c r="H37" s="16">
        <v>0.05</v>
      </c>
      <c r="I37">
        <v>1.95</v>
      </c>
      <c r="J37">
        <v>2089</v>
      </c>
      <c r="K37" s="14">
        <f t="shared" si="0"/>
        <v>4073.5499999999997</v>
      </c>
      <c r="L37" t="s">
        <v>2</v>
      </c>
    </row>
    <row r="38" spans="1:12" x14ac:dyDescent="0.35">
      <c r="A38" s="13">
        <v>44593</v>
      </c>
      <c r="B38">
        <v>1890</v>
      </c>
      <c r="C38">
        <v>500</v>
      </c>
      <c r="D38" t="s">
        <v>25</v>
      </c>
      <c r="F38" s="2" t="s">
        <v>42</v>
      </c>
      <c r="G38" t="s">
        <v>1</v>
      </c>
      <c r="H38" s="16">
        <v>0.05</v>
      </c>
      <c r="I38">
        <v>1.58</v>
      </c>
      <c r="J38">
        <v>1543</v>
      </c>
      <c r="K38" s="14">
        <f t="shared" si="0"/>
        <v>2437.94</v>
      </c>
      <c r="L38" t="s">
        <v>2</v>
      </c>
    </row>
    <row r="39" spans="1:12" x14ac:dyDescent="0.35">
      <c r="A39" s="13">
        <v>44593</v>
      </c>
      <c r="B39">
        <v>1437</v>
      </c>
      <c r="C39">
        <v>1000</v>
      </c>
      <c r="D39" t="s">
        <v>26</v>
      </c>
      <c r="F39" s="2"/>
      <c r="G39" t="s">
        <v>1</v>
      </c>
      <c r="H39" s="16">
        <v>0.05</v>
      </c>
      <c r="I39">
        <v>2.1800000000000002</v>
      </c>
      <c r="J39">
        <v>754</v>
      </c>
      <c r="K39" s="14">
        <f t="shared" si="0"/>
        <v>1643.72</v>
      </c>
      <c r="L39" t="s">
        <v>2</v>
      </c>
    </row>
    <row r="40" spans="1:12" x14ac:dyDescent="0.35">
      <c r="A40" s="13">
        <v>44593</v>
      </c>
      <c r="B40">
        <v>1437</v>
      </c>
      <c r="C40">
        <v>1000</v>
      </c>
      <c r="D40" t="s">
        <v>26</v>
      </c>
      <c r="F40" s="2"/>
      <c r="G40" t="s">
        <v>1</v>
      </c>
      <c r="H40" s="16">
        <v>0.05</v>
      </c>
      <c r="I40">
        <v>2.1800000000000002</v>
      </c>
      <c r="J40">
        <v>683</v>
      </c>
      <c r="K40" s="14">
        <f t="shared" si="0"/>
        <v>1488.94</v>
      </c>
      <c r="L40" t="s">
        <v>2</v>
      </c>
    </row>
    <row r="41" spans="1:12" x14ac:dyDescent="0.35">
      <c r="A41" s="13">
        <v>44593</v>
      </c>
      <c r="B41">
        <v>1785</v>
      </c>
      <c r="C41">
        <v>500</v>
      </c>
      <c r="D41" t="s">
        <v>26</v>
      </c>
      <c r="F41" s="2" t="s">
        <v>42</v>
      </c>
      <c r="G41" t="s">
        <v>1</v>
      </c>
      <c r="H41" s="16">
        <v>0.05</v>
      </c>
      <c r="I41">
        <v>1.48</v>
      </c>
      <c r="J41">
        <v>1193</v>
      </c>
      <c r="K41" s="14">
        <f t="shared" si="0"/>
        <v>1765.6399999999999</v>
      </c>
      <c r="L41" t="s">
        <v>2</v>
      </c>
    </row>
    <row r="42" spans="1:12" x14ac:dyDescent="0.35">
      <c r="A42" s="13">
        <v>44593</v>
      </c>
      <c r="B42">
        <v>1132</v>
      </c>
      <c r="C42">
        <v>500</v>
      </c>
      <c r="D42" t="s">
        <v>27</v>
      </c>
      <c r="F42" s="2"/>
      <c r="G42" t="s">
        <v>1</v>
      </c>
      <c r="H42" s="16">
        <v>0.05</v>
      </c>
      <c r="I42">
        <v>1.61</v>
      </c>
      <c r="J42">
        <v>491</v>
      </c>
      <c r="K42" s="14">
        <f t="shared" si="0"/>
        <v>790.5100000000001</v>
      </c>
      <c r="L42" t="s">
        <v>2</v>
      </c>
    </row>
    <row r="43" spans="1:12" x14ac:dyDescent="0.35">
      <c r="A43" s="13">
        <v>44593</v>
      </c>
      <c r="B43">
        <v>1119</v>
      </c>
      <c r="C43">
        <v>500</v>
      </c>
      <c r="D43" t="s">
        <v>28</v>
      </c>
      <c r="F43" s="2"/>
      <c r="G43" t="s">
        <v>1</v>
      </c>
      <c r="H43" s="16">
        <v>0.05</v>
      </c>
      <c r="I43">
        <v>1.47</v>
      </c>
      <c r="J43">
        <v>617</v>
      </c>
      <c r="K43" s="14">
        <f t="shared" si="0"/>
        <v>906.99</v>
      </c>
      <c r="L43" t="s">
        <v>2</v>
      </c>
    </row>
    <row r="44" spans="1:12" x14ac:dyDescent="0.35">
      <c r="A44" s="13">
        <v>44593</v>
      </c>
      <c r="B44">
        <v>1168</v>
      </c>
      <c r="C44">
        <v>500</v>
      </c>
      <c r="D44" t="s">
        <v>29</v>
      </c>
      <c r="F44" s="2"/>
      <c r="G44" t="s">
        <v>1</v>
      </c>
      <c r="H44" s="16">
        <v>0.05</v>
      </c>
      <c r="I44">
        <v>1.39</v>
      </c>
      <c r="J44">
        <v>540</v>
      </c>
      <c r="K44" s="14">
        <f t="shared" si="0"/>
        <v>750.59999999999991</v>
      </c>
      <c r="L44" t="s">
        <v>2</v>
      </c>
    </row>
    <row r="45" spans="1:12" x14ac:dyDescent="0.35">
      <c r="A45" s="13">
        <v>44621</v>
      </c>
      <c r="B45">
        <v>1930</v>
      </c>
      <c r="C45">
        <v>250</v>
      </c>
      <c r="D45" t="s">
        <v>0</v>
      </c>
      <c r="G45" t="s">
        <v>1</v>
      </c>
      <c r="H45" s="16">
        <v>0.05</v>
      </c>
      <c r="I45" s="1">
        <v>1.48</v>
      </c>
      <c r="J45">
        <v>307</v>
      </c>
      <c r="K45" s="14">
        <f>J45*I45</f>
        <v>454.36</v>
      </c>
      <c r="L45" t="s">
        <v>2</v>
      </c>
    </row>
    <row r="46" spans="1:12" x14ac:dyDescent="0.35">
      <c r="A46" s="13">
        <v>44621</v>
      </c>
      <c r="B46">
        <v>1895</v>
      </c>
      <c r="C46">
        <v>500</v>
      </c>
      <c r="D46" t="s">
        <v>3</v>
      </c>
      <c r="G46" t="s">
        <v>1</v>
      </c>
      <c r="H46" s="16">
        <v>0.05</v>
      </c>
      <c r="I46" s="1">
        <v>1.1399999999999999</v>
      </c>
      <c r="J46">
        <v>4320</v>
      </c>
      <c r="K46" s="14">
        <f t="shared" ref="K46:K87" si="1">J46*I46</f>
        <v>4924.7999999999993</v>
      </c>
      <c r="L46" t="s">
        <v>2</v>
      </c>
    </row>
    <row r="47" spans="1:12" x14ac:dyDescent="0.35">
      <c r="A47" s="13">
        <v>44621</v>
      </c>
      <c r="B47">
        <v>1282</v>
      </c>
      <c r="C47">
        <v>500</v>
      </c>
      <c r="D47" t="s">
        <v>4</v>
      </c>
      <c r="G47" t="s">
        <v>1</v>
      </c>
      <c r="H47" s="16">
        <v>0.05</v>
      </c>
      <c r="I47" s="1">
        <v>1.58</v>
      </c>
      <c r="J47">
        <v>1537</v>
      </c>
      <c r="K47" s="14">
        <f t="shared" si="1"/>
        <v>2428.46</v>
      </c>
      <c r="L47" t="s">
        <v>2</v>
      </c>
    </row>
    <row r="48" spans="1:12" x14ac:dyDescent="0.35">
      <c r="A48" s="13">
        <v>44621</v>
      </c>
      <c r="B48">
        <v>1451</v>
      </c>
      <c r="C48">
        <v>500</v>
      </c>
      <c r="D48" t="s">
        <v>5</v>
      </c>
      <c r="G48" t="s">
        <v>1</v>
      </c>
      <c r="H48" s="16">
        <v>0.05</v>
      </c>
      <c r="I48" s="1">
        <v>1.55</v>
      </c>
      <c r="J48">
        <v>224</v>
      </c>
      <c r="K48" s="14">
        <f t="shared" si="1"/>
        <v>347.2</v>
      </c>
      <c r="L48" t="s">
        <v>2</v>
      </c>
    </row>
    <row r="49" spans="1:12" x14ac:dyDescent="0.35">
      <c r="A49" s="13">
        <v>44621</v>
      </c>
      <c r="B49">
        <v>1884</v>
      </c>
      <c r="C49">
        <v>500</v>
      </c>
      <c r="D49" t="s">
        <v>6</v>
      </c>
      <c r="E49" t="s">
        <v>41</v>
      </c>
      <c r="G49" t="s">
        <v>1</v>
      </c>
      <c r="H49" s="16">
        <v>0.05</v>
      </c>
      <c r="I49" s="1">
        <v>2.69</v>
      </c>
      <c r="J49">
        <v>248</v>
      </c>
      <c r="K49" s="14">
        <f t="shared" si="1"/>
        <v>667.12</v>
      </c>
      <c r="L49" t="s">
        <v>2</v>
      </c>
    </row>
    <row r="50" spans="1:12" x14ac:dyDescent="0.35">
      <c r="A50" s="13">
        <v>44621</v>
      </c>
      <c r="B50">
        <v>1214</v>
      </c>
      <c r="C50">
        <v>500</v>
      </c>
      <c r="D50" t="s">
        <v>6</v>
      </c>
      <c r="G50" t="s">
        <v>1</v>
      </c>
      <c r="H50" s="16">
        <v>0.05</v>
      </c>
      <c r="I50" s="1">
        <v>1.08</v>
      </c>
      <c r="J50">
        <v>2143</v>
      </c>
      <c r="K50" s="14">
        <f t="shared" si="1"/>
        <v>2314.44</v>
      </c>
      <c r="L50" t="s">
        <v>2</v>
      </c>
    </row>
    <row r="51" spans="1:12" x14ac:dyDescent="0.35">
      <c r="A51" s="13">
        <v>44621</v>
      </c>
      <c r="B51">
        <v>1323</v>
      </c>
      <c r="C51">
        <v>500</v>
      </c>
      <c r="D51" t="s">
        <v>6</v>
      </c>
      <c r="F51" t="s">
        <v>42</v>
      </c>
      <c r="G51" t="s">
        <v>1</v>
      </c>
      <c r="H51" s="16">
        <v>0.05</v>
      </c>
      <c r="I51" s="1">
        <v>1.1499999999999999</v>
      </c>
      <c r="J51">
        <v>788</v>
      </c>
      <c r="K51" s="14">
        <f t="shared" si="1"/>
        <v>906.19999999999993</v>
      </c>
      <c r="L51" t="s">
        <v>2</v>
      </c>
    </row>
    <row r="52" spans="1:12" x14ac:dyDescent="0.35">
      <c r="A52" s="13">
        <v>44621</v>
      </c>
      <c r="B52">
        <v>1320</v>
      </c>
      <c r="C52">
        <v>1000</v>
      </c>
      <c r="D52" t="s">
        <v>6</v>
      </c>
      <c r="G52" t="s">
        <v>1</v>
      </c>
      <c r="H52" s="16">
        <v>0.05</v>
      </c>
      <c r="I52" s="1">
        <v>1.94</v>
      </c>
      <c r="J52">
        <v>2006</v>
      </c>
      <c r="K52" s="14">
        <f t="shared" si="1"/>
        <v>3891.64</v>
      </c>
      <c r="L52" t="s">
        <v>2</v>
      </c>
    </row>
    <row r="53" spans="1:12" x14ac:dyDescent="0.35">
      <c r="A53" s="13">
        <v>44621</v>
      </c>
      <c r="B53">
        <v>1894</v>
      </c>
      <c r="C53">
        <v>500</v>
      </c>
      <c r="D53" t="s">
        <v>7</v>
      </c>
      <c r="G53" t="s">
        <v>1</v>
      </c>
      <c r="H53" s="16">
        <v>0.05</v>
      </c>
      <c r="I53" s="1">
        <v>1.19</v>
      </c>
      <c r="J53">
        <v>2279</v>
      </c>
      <c r="K53" s="14">
        <f t="shared" si="1"/>
        <v>2712.0099999999998</v>
      </c>
      <c r="L53" t="s">
        <v>2</v>
      </c>
    </row>
    <row r="54" spans="1:12" x14ac:dyDescent="0.35">
      <c r="A54" s="13">
        <v>44621</v>
      </c>
      <c r="B54">
        <v>1351</v>
      </c>
      <c r="C54">
        <v>1000</v>
      </c>
      <c r="D54" t="s">
        <v>7</v>
      </c>
      <c r="G54" t="s">
        <v>1</v>
      </c>
      <c r="H54" s="16">
        <v>0.05</v>
      </c>
      <c r="I54" s="1">
        <v>2.2799999999999998</v>
      </c>
      <c r="J54">
        <v>1112</v>
      </c>
      <c r="K54" s="14">
        <f t="shared" si="1"/>
        <v>2535.3599999999997</v>
      </c>
      <c r="L54" t="s">
        <v>2</v>
      </c>
    </row>
    <row r="55" spans="1:12" x14ac:dyDescent="0.35">
      <c r="A55" s="13">
        <v>44621</v>
      </c>
      <c r="B55">
        <v>1425</v>
      </c>
      <c r="C55">
        <v>500</v>
      </c>
      <c r="D55" t="s">
        <v>7</v>
      </c>
      <c r="F55" t="s">
        <v>42</v>
      </c>
      <c r="G55" t="s">
        <v>1</v>
      </c>
      <c r="H55" s="16">
        <v>0.05</v>
      </c>
      <c r="I55" s="1">
        <v>1.71</v>
      </c>
      <c r="J55">
        <v>297</v>
      </c>
      <c r="K55" s="14">
        <f t="shared" si="1"/>
        <v>507.87</v>
      </c>
      <c r="L55" t="s">
        <v>2</v>
      </c>
    </row>
    <row r="56" spans="1:12" x14ac:dyDescent="0.35">
      <c r="A56" s="13">
        <v>44621</v>
      </c>
      <c r="B56">
        <v>1305</v>
      </c>
      <c r="C56">
        <v>500</v>
      </c>
      <c r="D56" t="s">
        <v>8</v>
      </c>
      <c r="G56" t="s">
        <v>1</v>
      </c>
      <c r="H56" s="16">
        <v>0.05</v>
      </c>
      <c r="I56" s="1">
        <v>1.41</v>
      </c>
      <c r="J56">
        <v>620</v>
      </c>
      <c r="K56" s="14">
        <f t="shared" si="1"/>
        <v>874.19999999999993</v>
      </c>
      <c r="L56" t="s">
        <v>2</v>
      </c>
    </row>
    <row r="57" spans="1:12" x14ac:dyDescent="0.35">
      <c r="A57" s="13">
        <v>44621</v>
      </c>
      <c r="B57">
        <v>1766</v>
      </c>
      <c r="C57">
        <v>500</v>
      </c>
      <c r="D57" t="s">
        <v>9</v>
      </c>
      <c r="G57" t="s">
        <v>1</v>
      </c>
      <c r="H57" s="16">
        <v>0.05</v>
      </c>
      <c r="I57" s="1">
        <v>1.52</v>
      </c>
      <c r="J57">
        <v>1019</v>
      </c>
      <c r="K57" s="14">
        <f t="shared" si="1"/>
        <v>1548.88</v>
      </c>
      <c r="L57" t="s">
        <v>2</v>
      </c>
    </row>
    <row r="58" spans="1:12" x14ac:dyDescent="0.35">
      <c r="A58" s="13">
        <v>44621</v>
      </c>
      <c r="B58">
        <v>1109</v>
      </c>
      <c r="C58">
        <v>250</v>
      </c>
      <c r="D58" t="s">
        <v>10</v>
      </c>
      <c r="G58" t="s">
        <v>1</v>
      </c>
      <c r="H58" s="16">
        <v>0.05</v>
      </c>
      <c r="I58" s="1">
        <v>1.76</v>
      </c>
      <c r="J58">
        <v>293</v>
      </c>
      <c r="K58" s="14">
        <f t="shared" si="1"/>
        <v>515.67999999999995</v>
      </c>
      <c r="L58" t="s">
        <v>2</v>
      </c>
    </row>
    <row r="59" spans="1:12" x14ac:dyDescent="0.35">
      <c r="A59" s="13">
        <v>44621</v>
      </c>
      <c r="B59">
        <v>1489</v>
      </c>
      <c r="C59">
        <v>500</v>
      </c>
      <c r="D59" t="s">
        <v>11</v>
      </c>
      <c r="G59" t="s">
        <v>1</v>
      </c>
      <c r="H59" s="16">
        <v>0.05</v>
      </c>
      <c r="I59" s="1">
        <v>1.05</v>
      </c>
      <c r="J59">
        <v>1058</v>
      </c>
      <c r="K59" s="14">
        <f t="shared" si="1"/>
        <v>1110.9000000000001</v>
      </c>
      <c r="L59" t="s">
        <v>2</v>
      </c>
    </row>
    <row r="60" spans="1:12" x14ac:dyDescent="0.35">
      <c r="A60" s="13">
        <v>44621</v>
      </c>
      <c r="B60">
        <v>1470</v>
      </c>
      <c r="C60">
        <v>500</v>
      </c>
      <c r="D60" t="s">
        <v>12</v>
      </c>
      <c r="G60" t="s">
        <v>1</v>
      </c>
      <c r="H60" s="16">
        <v>0.05</v>
      </c>
      <c r="I60" s="1">
        <v>1.5</v>
      </c>
      <c r="J60">
        <v>333</v>
      </c>
      <c r="K60" s="14">
        <f t="shared" si="1"/>
        <v>499.5</v>
      </c>
      <c r="L60" t="s">
        <v>2</v>
      </c>
    </row>
    <row r="61" spans="1:12" x14ac:dyDescent="0.35">
      <c r="A61" s="13">
        <v>44621</v>
      </c>
      <c r="B61">
        <v>1277</v>
      </c>
      <c r="C61">
        <v>500</v>
      </c>
      <c r="D61" t="s">
        <v>13</v>
      </c>
      <c r="G61" t="s">
        <v>1</v>
      </c>
      <c r="H61" s="16">
        <v>0.05</v>
      </c>
      <c r="I61" s="1">
        <v>1.55</v>
      </c>
      <c r="J61">
        <v>252</v>
      </c>
      <c r="K61" s="14">
        <f t="shared" si="1"/>
        <v>390.6</v>
      </c>
      <c r="L61" t="s">
        <v>2</v>
      </c>
    </row>
    <row r="62" spans="1:12" x14ac:dyDescent="0.35">
      <c r="A62" s="13">
        <v>44621</v>
      </c>
      <c r="B62">
        <v>1122</v>
      </c>
      <c r="C62">
        <v>500</v>
      </c>
      <c r="D62" t="s">
        <v>14</v>
      </c>
      <c r="G62" t="s">
        <v>1</v>
      </c>
      <c r="H62" s="16">
        <v>0.05</v>
      </c>
      <c r="I62" s="1">
        <v>1.92</v>
      </c>
      <c r="J62">
        <v>2502</v>
      </c>
      <c r="K62" s="14">
        <f t="shared" si="1"/>
        <v>4803.84</v>
      </c>
      <c r="L62" t="s">
        <v>2</v>
      </c>
    </row>
    <row r="63" spans="1:12" x14ac:dyDescent="0.35">
      <c r="A63" s="13">
        <v>44621</v>
      </c>
      <c r="B63">
        <v>1990</v>
      </c>
      <c r="C63">
        <v>500</v>
      </c>
      <c r="D63" t="s">
        <v>15</v>
      </c>
      <c r="G63" t="s">
        <v>1</v>
      </c>
      <c r="H63" s="16">
        <v>0.05</v>
      </c>
      <c r="I63" s="1">
        <v>1.61</v>
      </c>
      <c r="J63">
        <v>4947</v>
      </c>
      <c r="K63" s="14">
        <f t="shared" si="1"/>
        <v>7964.67</v>
      </c>
      <c r="L63" t="s">
        <v>2</v>
      </c>
    </row>
    <row r="64" spans="1:12" x14ac:dyDescent="0.35">
      <c r="A64" s="13">
        <v>44621</v>
      </c>
      <c r="B64">
        <v>1317</v>
      </c>
      <c r="C64">
        <v>500</v>
      </c>
      <c r="D64" t="s">
        <v>16</v>
      </c>
      <c r="G64" t="s">
        <v>1</v>
      </c>
      <c r="H64" s="16">
        <v>0.05</v>
      </c>
      <c r="I64" s="1">
        <v>1.2</v>
      </c>
      <c r="J64">
        <v>2189</v>
      </c>
      <c r="K64" s="14">
        <f t="shared" si="1"/>
        <v>2626.7999999999997</v>
      </c>
      <c r="L64" t="s">
        <v>2</v>
      </c>
    </row>
    <row r="65" spans="1:12" x14ac:dyDescent="0.35">
      <c r="A65" s="13">
        <v>44621</v>
      </c>
      <c r="B65">
        <v>1874</v>
      </c>
      <c r="C65">
        <v>500</v>
      </c>
      <c r="D65" t="s">
        <v>17</v>
      </c>
      <c r="G65" t="s">
        <v>1</v>
      </c>
      <c r="H65" s="16">
        <v>0.05</v>
      </c>
      <c r="I65" s="1">
        <v>1.33</v>
      </c>
      <c r="J65">
        <v>1248</v>
      </c>
      <c r="K65" s="14">
        <f t="shared" si="1"/>
        <v>1659.8400000000001</v>
      </c>
      <c r="L65" t="s">
        <v>2</v>
      </c>
    </row>
    <row r="66" spans="1:12" x14ac:dyDescent="0.35">
      <c r="A66" s="13">
        <v>44621</v>
      </c>
      <c r="B66">
        <v>1738</v>
      </c>
      <c r="C66">
        <v>500</v>
      </c>
      <c r="D66" t="s">
        <v>18</v>
      </c>
      <c r="G66" t="s">
        <v>1</v>
      </c>
      <c r="H66" s="16">
        <v>0.05</v>
      </c>
      <c r="I66" s="1">
        <v>1.27</v>
      </c>
      <c r="J66">
        <v>434</v>
      </c>
      <c r="K66" s="14">
        <f t="shared" si="1"/>
        <v>551.18000000000006</v>
      </c>
      <c r="L66" t="s">
        <v>2</v>
      </c>
    </row>
    <row r="67" spans="1:12" x14ac:dyDescent="0.35">
      <c r="A67" s="13">
        <v>44621</v>
      </c>
      <c r="B67">
        <v>1321</v>
      </c>
      <c r="C67">
        <v>500</v>
      </c>
      <c r="D67" t="s">
        <v>7</v>
      </c>
      <c r="F67" t="s">
        <v>42</v>
      </c>
      <c r="G67" t="s">
        <v>1</v>
      </c>
      <c r="H67" s="16">
        <v>0.05</v>
      </c>
      <c r="I67" s="1">
        <v>1.7</v>
      </c>
      <c r="J67">
        <v>293</v>
      </c>
      <c r="K67" s="14">
        <f t="shared" si="1"/>
        <v>498.09999999999997</v>
      </c>
      <c r="L67" t="s">
        <v>2</v>
      </c>
    </row>
    <row r="68" spans="1:12" x14ac:dyDescent="0.35">
      <c r="A68" s="13">
        <v>44621</v>
      </c>
      <c r="B68">
        <v>1129</v>
      </c>
      <c r="C68">
        <v>500</v>
      </c>
      <c r="D68" t="s">
        <v>19</v>
      </c>
      <c r="G68" t="s">
        <v>1</v>
      </c>
      <c r="H68" s="16">
        <v>0.05</v>
      </c>
      <c r="I68" s="1">
        <v>1.25</v>
      </c>
      <c r="J68">
        <v>1060</v>
      </c>
      <c r="K68" s="14">
        <f t="shared" si="1"/>
        <v>1325</v>
      </c>
      <c r="L68" t="s">
        <v>2</v>
      </c>
    </row>
    <row r="69" spans="1:12" x14ac:dyDescent="0.35">
      <c r="A69" s="13">
        <v>44621</v>
      </c>
      <c r="B69">
        <v>1959</v>
      </c>
      <c r="C69">
        <v>500</v>
      </c>
      <c r="D69" t="s">
        <v>20</v>
      </c>
      <c r="F69" t="s">
        <v>42</v>
      </c>
      <c r="G69" t="s">
        <v>1</v>
      </c>
      <c r="H69" s="16">
        <v>0.05</v>
      </c>
      <c r="I69" s="1">
        <v>1.53</v>
      </c>
      <c r="J69">
        <v>1291</v>
      </c>
      <c r="K69" s="14">
        <f t="shared" si="1"/>
        <v>1975.23</v>
      </c>
      <c r="L69" t="s">
        <v>2</v>
      </c>
    </row>
    <row r="70" spans="1:12" x14ac:dyDescent="0.35">
      <c r="A70" s="13">
        <v>44621</v>
      </c>
      <c r="B70">
        <v>1759</v>
      </c>
      <c r="C70">
        <v>1000</v>
      </c>
      <c r="D70" t="s">
        <v>20</v>
      </c>
      <c r="G70" t="s">
        <v>1</v>
      </c>
      <c r="H70" s="16">
        <v>0.05</v>
      </c>
      <c r="I70" s="1">
        <v>1.93</v>
      </c>
      <c r="J70">
        <v>2294</v>
      </c>
      <c r="K70" s="14">
        <f t="shared" si="1"/>
        <v>4427.42</v>
      </c>
      <c r="L70" t="s">
        <v>2</v>
      </c>
    </row>
    <row r="71" spans="1:12" x14ac:dyDescent="0.35">
      <c r="A71" s="13">
        <v>44621</v>
      </c>
      <c r="B71">
        <v>1337</v>
      </c>
      <c r="C71">
        <v>500</v>
      </c>
      <c r="D71" t="s">
        <v>20</v>
      </c>
      <c r="E71" t="s">
        <v>41</v>
      </c>
      <c r="G71" t="s">
        <v>1</v>
      </c>
      <c r="H71" s="16">
        <v>0.05</v>
      </c>
      <c r="I71" s="1">
        <v>2.62</v>
      </c>
      <c r="J71">
        <v>677</v>
      </c>
      <c r="K71" s="14">
        <f t="shared" si="1"/>
        <v>1773.74</v>
      </c>
      <c r="L71" t="s">
        <v>2</v>
      </c>
    </row>
    <row r="72" spans="1:12" x14ac:dyDescent="0.35">
      <c r="A72" s="13">
        <v>44621</v>
      </c>
      <c r="B72">
        <v>1239</v>
      </c>
      <c r="C72">
        <v>500</v>
      </c>
      <c r="D72" t="s">
        <v>20</v>
      </c>
      <c r="G72" t="s">
        <v>1</v>
      </c>
      <c r="H72" s="16">
        <v>0.05</v>
      </c>
      <c r="I72" s="1">
        <v>1.1399999999999999</v>
      </c>
      <c r="J72">
        <v>3859</v>
      </c>
      <c r="K72" s="14">
        <f t="shared" si="1"/>
        <v>4399.2599999999993</v>
      </c>
      <c r="L72" t="s">
        <v>2</v>
      </c>
    </row>
    <row r="73" spans="1:12" x14ac:dyDescent="0.35">
      <c r="A73" s="13">
        <v>44621</v>
      </c>
      <c r="B73">
        <v>1444</v>
      </c>
      <c r="C73">
        <v>500</v>
      </c>
      <c r="D73" t="s">
        <v>21</v>
      </c>
      <c r="G73" t="s">
        <v>1</v>
      </c>
      <c r="H73" s="16">
        <v>0.05</v>
      </c>
      <c r="I73" s="1">
        <v>1.28</v>
      </c>
      <c r="J73">
        <v>1106</v>
      </c>
      <c r="K73" s="14">
        <f t="shared" si="1"/>
        <v>1415.68</v>
      </c>
      <c r="L73" t="s">
        <v>2</v>
      </c>
    </row>
    <row r="74" spans="1:12" x14ac:dyDescent="0.35">
      <c r="A74" s="13">
        <v>44621</v>
      </c>
      <c r="B74">
        <v>1170</v>
      </c>
      <c r="C74">
        <v>1000</v>
      </c>
      <c r="D74" t="s">
        <v>22</v>
      </c>
      <c r="G74" t="s">
        <v>1</v>
      </c>
      <c r="H74" s="16">
        <v>0.05</v>
      </c>
      <c r="I74" s="1">
        <v>1.76</v>
      </c>
      <c r="J74">
        <v>1855</v>
      </c>
      <c r="K74" s="14">
        <f t="shared" si="1"/>
        <v>3264.8</v>
      </c>
      <c r="L74" t="s">
        <v>2</v>
      </c>
    </row>
    <row r="75" spans="1:12" x14ac:dyDescent="0.35">
      <c r="A75" s="13">
        <v>44621</v>
      </c>
      <c r="B75">
        <v>1752</v>
      </c>
      <c r="C75">
        <v>500</v>
      </c>
      <c r="D75" t="s">
        <v>22</v>
      </c>
      <c r="G75" t="s">
        <v>1</v>
      </c>
      <c r="H75" s="16">
        <v>0.05</v>
      </c>
      <c r="I75" s="1">
        <v>0.99</v>
      </c>
      <c r="J75">
        <v>5342</v>
      </c>
      <c r="K75" s="14">
        <f t="shared" si="1"/>
        <v>5288.58</v>
      </c>
      <c r="L75" t="s">
        <v>2</v>
      </c>
    </row>
    <row r="76" spans="1:12" x14ac:dyDescent="0.35">
      <c r="A76" s="13">
        <v>44621</v>
      </c>
      <c r="B76">
        <v>1827</v>
      </c>
      <c r="C76">
        <v>500</v>
      </c>
      <c r="D76" t="s">
        <v>22</v>
      </c>
      <c r="E76" t="s">
        <v>41</v>
      </c>
      <c r="G76" t="s">
        <v>1</v>
      </c>
      <c r="H76" s="16">
        <v>0.05</v>
      </c>
      <c r="I76" s="1">
        <v>2.4</v>
      </c>
      <c r="J76">
        <v>1108</v>
      </c>
      <c r="K76" s="14">
        <f t="shared" si="1"/>
        <v>2659.2</v>
      </c>
      <c r="L76" t="s">
        <v>2</v>
      </c>
    </row>
    <row r="77" spans="1:12" x14ac:dyDescent="0.35">
      <c r="A77" s="13">
        <v>44621</v>
      </c>
      <c r="B77">
        <v>1378</v>
      </c>
      <c r="C77">
        <v>500</v>
      </c>
      <c r="D77" t="s">
        <v>22</v>
      </c>
      <c r="F77" t="s">
        <v>42</v>
      </c>
      <c r="G77" t="s">
        <v>1</v>
      </c>
      <c r="H77" s="16">
        <v>0.05</v>
      </c>
      <c r="I77" s="1">
        <v>1.55</v>
      </c>
      <c r="J77">
        <v>270</v>
      </c>
      <c r="K77" s="14">
        <f t="shared" si="1"/>
        <v>418.5</v>
      </c>
      <c r="L77" t="s">
        <v>2</v>
      </c>
    </row>
    <row r="78" spans="1:12" x14ac:dyDescent="0.35">
      <c r="A78" s="13">
        <v>44621</v>
      </c>
      <c r="B78">
        <v>1315</v>
      </c>
      <c r="C78">
        <v>500</v>
      </c>
      <c r="D78" t="s">
        <v>24</v>
      </c>
      <c r="G78" t="s">
        <v>1</v>
      </c>
      <c r="H78" s="16">
        <v>0.05</v>
      </c>
      <c r="I78" s="1">
        <v>1.38</v>
      </c>
      <c r="J78">
        <v>531</v>
      </c>
      <c r="K78" s="14">
        <f t="shared" si="1"/>
        <v>732.78</v>
      </c>
      <c r="L78" t="s">
        <v>2</v>
      </c>
    </row>
    <row r="79" spans="1:12" x14ac:dyDescent="0.35">
      <c r="A79" s="13">
        <v>44621</v>
      </c>
      <c r="B79">
        <v>1582</v>
      </c>
      <c r="C79">
        <v>500</v>
      </c>
      <c r="D79" t="s">
        <v>23</v>
      </c>
      <c r="G79" t="s">
        <v>1</v>
      </c>
      <c r="H79" s="16">
        <v>0.05</v>
      </c>
      <c r="I79" s="1">
        <v>1.03</v>
      </c>
      <c r="J79">
        <v>2929</v>
      </c>
      <c r="K79" s="14">
        <f t="shared" si="1"/>
        <v>3016.87</v>
      </c>
      <c r="L79" t="s">
        <v>2</v>
      </c>
    </row>
    <row r="80" spans="1:12" x14ac:dyDescent="0.35">
      <c r="A80" s="13">
        <v>44621</v>
      </c>
      <c r="B80">
        <v>1217</v>
      </c>
      <c r="C80">
        <v>500</v>
      </c>
      <c r="D80" t="s">
        <v>25</v>
      </c>
      <c r="G80" t="s">
        <v>1</v>
      </c>
      <c r="H80" s="16">
        <v>0.05</v>
      </c>
      <c r="I80" s="1">
        <v>2</v>
      </c>
      <c r="J80">
        <v>886</v>
      </c>
      <c r="K80" s="14">
        <f t="shared" si="1"/>
        <v>1772</v>
      </c>
      <c r="L80" t="s">
        <v>2</v>
      </c>
    </row>
    <row r="81" spans="1:12" x14ac:dyDescent="0.35">
      <c r="A81" s="13">
        <v>44621</v>
      </c>
      <c r="B81">
        <v>1890</v>
      </c>
      <c r="C81">
        <v>500</v>
      </c>
      <c r="D81" t="s">
        <v>25</v>
      </c>
      <c r="F81" t="s">
        <v>42</v>
      </c>
      <c r="G81" t="s">
        <v>1</v>
      </c>
      <c r="H81" s="16">
        <v>0.05</v>
      </c>
      <c r="I81" s="1">
        <v>1.57</v>
      </c>
      <c r="J81">
        <v>1140</v>
      </c>
      <c r="K81" s="14">
        <f t="shared" si="1"/>
        <v>1789.8000000000002</v>
      </c>
      <c r="L81" t="s">
        <v>2</v>
      </c>
    </row>
    <row r="82" spans="1:12" x14ac:dyDescent="0.35">
      <c r="A82" s="13">
        <v>44621</v>
      </c>
      <c r="B82">
        <v>1437</v>
      </c>
      <c r="C82">
        <v>1000</v>
      </c>
      <c r="D82" t="s">
        <v>26</v>
      </c>
      <c r="G82" t="s">
        <v>1</v>
      </c>
      <c r="H82" s="16">
        <v>0.05</v>
      </c>
      <c r="I82" s="1">
        <v>2.0699999999999998</v>
      </c>
      <c r="J82">
        <v>986</v>
      </c>
      <c r="K82" s="14">
        <f t="shared" si="1"/>
        <v>2041.0199999999998</v>
      </c>
      <c r="L82" t="s">
        <v>2</v>
      </c>
    </row>
    <row r="83" spans="1:12" x14ac:dyDescent="0.35">
      <c r="A83" s="13">
        <v>44621</v>
      </c>
      <c r="B83">
        <v>1437</v>
      </c>
      <c r="C83">
        <v>1000</v>
      </c>
      <c r="D83" t="s">
        <v>26</v>
      </c>
      <c r="G83" t="s">
        <v>1</v>
      </c>
      <c r="H83" s="16">
        <v>0.05</v>
      </c>
      <c r="I83" s="1">
        <v>2.0699999999999998</v>
      </c>
      <c r="J83">
        <v>828</v>
      </c>
      <c r="K83" s="14">
        <f t="shared" si="1"/>
        <v>1713.9599999999998</v>
      </c>
      <c r="L83" t="s">
        <v>2</v>
      </c>
    </row>
    <row r="84" spans="1:12" x14ac:dyDescent="0.35">
      <c r="A84" s="13">
        <v>44621</v>
      </c>
      <c r="B84">
        <v>1785</v>
      </c>
      <c r="C84">
        <v>500</v>
      </c>
      <c r="D84" t="s">
        <v>26</v>
      </c>
      <c r="F84" t="s">
        <v>42</v>
      </c>
      <c r="G84" t="s">
        <v>1</v>
      </c>
      <c r="H84" s="16">
        <v>0.05</v>
      </c>
      <c r="I84" s="1">
        <v>1.48</v>
      </c>
      <c r="J84">
        <v>51</v>
      </c>
      <c r="K84" s="14">
        <f t="shared" si="1"/>
        <v>75.48</v>
      </c>
      <c r="L84" t="s">
        <v>2</v>
      </c>
    </row>
    <row r="85" spans="1:12" x14ac:dyDescent="0.35">
      <c r="A85" s="13">
        <v>44621</v>
      </c>
      <c r="B85">
        <v>1132</v>
      </c>
      <c r="C85">
        <v>500</v>
      </c>
      <c r="D85" t="s">
        <v>27</v>
      </c>
      <c r="G85" t="s">
        <v>1</v>
      </c>
      <c r="H85" s="16">
        <v>0.05</v>
      </c>
      <c r="I85" s="1">
        <v>1.6</v>
      </c>
      <c r="J85">
        <v>383</v>
      </c>
      <c r="K85" s="14">
        <f t="shared" si="1"/>
        <v>612.80000000000007</v>
      </c>
      <c r="L85" t="s">
        <v>2</v>
      </c>
    </row>
    <row r="86" spans="1:12" x14ac:dyDescent="0.35">
      <c r="A86" s="13">
        <v>44621</v>
      </c>
      <c r="B86">
        <v>1119</v>
      </c>
      <c r="C86">
        <v>500</v>
      </c>
      <c r="D86" t="s">
        <v>28</v>
      </c>
      <c r="G86" t="s">
        <v>1</v>
      </c>
      <c r="H86" s="16">
        <v>0.05</v>
      </c>
      <c r="I86" s="1">
        <v>1.61</v>
      </c>
      <c r="J86">
        <v>1150</v>
      </c>
      <c r="K86" s="14">
        <f t="shared" si="1"/>
        <v>1851.5</v>
      </c>
      <c r="L86" t="s">
        <v>2</v>
      </c>
    </row>
    <row r="87" spans="1:12" x14ac:dyDescent="0.35">
      <c r="A87" s="13">
        <v>44621</v>
      </c>
      <c r="B87">
        <v>1168</v>
      </c>
      <c r="C87">
        <v>500</v>
      </c>
      <c r="D87" t="s">
        <v>29</v>
      </c>
      <c r="G87" t="s">
        <v>1</v>
      </c>
      <c r="H87" s="16">
        <v>0.05</v>
      </c>
      <c r="I87" s="1">
        <v>1.43</v>
      </c>
      <c r="J87">
        <v>592</v>
      </c>
      <c r="K87" s="14">
        <f t="shared" si="1"/>
        <v>846.56</v>
      </c>
      <c r="L87" t="s">
        <v>2</v>
      </c>
    </row>
    <row r="88" spans="1:12" x14ac:dyDescent="0.35">
      <c r="A88" s="13">
        <v>44652</v>
      </c>
      <c r="B88">
        <v>1930</v>
      </c>
      <c r="C88">
        <v>250</v>
      </c>
      <c r="D88" t="s">
        <v>0</v>
      </c>
      <c r="G88" t="s">
        <v>1</v>
      </c>
      <c r="H88" s="16">
        <v>0.05</v>
      </c>
      <c r="I88" s="1">
        <v>1.5</v>
      </c>
      <c r="J88">
        <v>176</v>
      </c>
      <c r="K88" s="14">
        <f>I88*J88</f>
        <v>264</v>
      </c>
      <c r="L88" t="s">
        <v>2</v>
      </c>
    </row>
    <row r="89" spans="1:12" x14ac:dyDescent="0.35">
      <c r="A89" s="13">
        <v>44652</v>
      </c>
      <c r="B89">
        <v>1895</v>
      </c>
      <c r="C89">
        <v>500</v>
      </c>
      <c r="D89" t="s">
        <v>3</v>
      </c>
      <c r="G89" t="s">
        <v>1</v>
      </c>
      <c r="H89" s="16">
        <v>0.05</v>
      </c>
      <c r="I89" s="1">
        <v>1.1599999999999999</v>
      </c>
      <c r="J89">
        <v>4225</v>
      </c>
      <c r="K89" s="14">
        <f t="shared" ref="K89:K126" si="2">I89*J89</f>
        <v>4901</v>
      </c>
      <c r="L89" t="s">
        <v>2</v>
      </c>
    </row>
    <row r="90" spans="1:12" x14ac:dyDescent="0.35">
      <c r="A90" s="13">
        <v>44652</v>
      </c>
      <c r="B90">
        <v>1282</v>
      </c>
      <c r="C90">
        <v>500</v>
      </c>
      <c r="D90" t="s">
        <v>4</v>
      </c>
      <c r="G90" t="s">
        <v>1</v>
      </c>
      <c r="H90" s="16">
        <v>0.05</v>
      </c>
      <c r="I90" s="1">
        <v>1.61</v>
      </c>
      <c r="J90">
        <v>864</v>
      </c>
      <c r="K90" s="14">
        <f t="shared" si="2"/>
        <v>1391.0400000000002</v>
      </c>
      <c r="L90" t="s">
        <v>2</v>
      </c>
    </row>
    <row r="91" spans="1:12" x14ac:dyDescent="0.35">
      <c r="A91" s="13">
        <v>44652</v>
      </c>
      <c r="B91">
        <v>1451</v>
      </c>
      <c r="C91">
        <v>500</v>
      </c>
      <c r="D91" t="s">
        <v>5</v>
      </c>
      <c r="G91" t="s">
        <v>1</v>
      </c>
      <c r="H91" s="16">
        <v>0.05</v>
      </c>
      <c r="I91" s="1">
        <v>1.55</v>
      </c>
      <c r="J91">
        <v>308</v>
      </c>
      <c r="K91" s="14">
        <f t="shared" si="2"/>
        <v>477.40000000000003</v>
      </c>
      <c r="L91" t="s">
        <v>2</v>
      </c>
    </row>
    <row r="92" spans="1:12" x14ac:dyDescent="0.35">
      <c r="A92" s="13">
        <v>44652</v>
      </c>
      <c r="B92">
        <v>1884</v>
      </c>
      <c r="C92">
        <v>500</v>
      </c>
      <c r="D92" t="s">
        <v>6</v>
      </c>
      <c r="E92" t="s">
        <v>41</v>
      </c>
      <c r="G92" t="s">
        <v>1</v>
      </c>
      <c r="H92" s="16">
        <v>0.05</v>
      </c>
      <c r="I92" s="1">
        <v>2.5299999999999998</v>
      </c>
      <c r="J92">
        <v>616</v>
      </c>
      <c r="K92" s="14">
        <f t="shared" si="2"/>
        <v>1558.4799999999998</v>
      </c>
      <c r="L92" t="s">
        <v>2</v>
      </c>
    </row>
    <row r="93" spans="1:12" x14ac:dyDescent="0.35">
      <c r="A93" s="13">
        <v>44652</v>
      </c>
      <c r="B93">
        <v>1214</v>
      </c>
      <c r="C93">
        <v>500</v>
      </c>
      <c r="D93" t="s">
        <v>6</v>
      </c>
      <c r="G93" t="s">
        <v>1</v>
      </c>
      <c r="H93" s="16">
        <v>0.05</v>
      </c>
      <c r="I93" s="1">
        <v>1.06</v>
      </c>
      <c r="J93">
        <v>4193</v>
      </c>
      <c r="K93" s="14">
        <f t="shared" si="2"/>
        <v>4444.58</v>
      </c>
      <c r="L93" t="s">
        <v>2</v>
      </c>
    </row>
    <row r="94" spans="1:12" x14ac:dyDescent="0.35">
      <c r="A94" s="13">
        <v>44652</v>
      </c>
      <c r="B94">
        <v>1323</v>
      </c>
      <c r="C94">
        <v>500</v>
      </c>
      <c r="D94" t="s">
        <v>6</v>
      </c>
      <c r="F94" t="s">
        <v>42</v>
      </c>
      <c r="G94" t="s">
        <v>1</v>
      </c>
      <c r="H94" s="16">
        <v>0.05</v>
      </c>
      <c r="I94" s="1">
        <v>1.1100000000000001</v>
      </c>
      <c r="J94">
        <v>580</v>
      </c>
      <c r="K94" s="14">
        <f t="shared" si="2"/>
        <v>643.80000000000007</v>
      </c>
      <c r="L94" t="s">
        <v>2</v>
      </c>
    </row>
    <row r="95" spans="1:12" x14ac:dyDescent="0.35">
      <c r="A95" s="13">
        <v>44652</v>
      </c>
      <c r="B95">
        <v>1320</v>
      </c>
      <c r="C95">
        <v>1000</v>
      </c>
      <c r="D95" t="s">
        <v>6</v>
      </c>
      <c r="G95" t="s">
        <v>1</v>
      </c>
      <c r="H95" s="16">
        <v>0.05</v>
      </c>
      <c r="I95" s="1">
        <v>1.91</v>
      </c>
      <c r="J95">
        <v>871</v>
      </c>
      <c r="K95" s="14">
        <f t="shared" si="2"/>
        <v>1663.61</v>
      </c>
      <c r="L95" t="s">
        <v>2</v>
      </c>
    </row>
    <row r="96" spans="1:12" x14ac:dyDescent="0.35">
      <c r="A96" s="13">
        <v>44652</v>
      </c>
      <c r="B96">
        <v>1894</v>
      </c>
      <c r="C96">
        <v>500</v>
      </c>
      <c r="D96" t="s">
        <v>7</v>
      </c>
      <c r="G96" t="s">
        <v>1</v>
      </c>
      <c r="H96" s="16">
        <v>0.05</v>
      </c>
      <c r="I96" s="1">
        <v>1.1100000000000001</v>
      </c>
      <c r="J96">
        <v>1945</v>
      </c>
      <c r="K96" s="14">
        <f t="shared" si="2"/>
        <v>2158.9500000000003</v>
      </c>
      <c r="L96" t="s">
        <v>2</v>
      </c>
    </row>
    <row r="97" spans="1:12" x14ac:dyDescent="0.35">
      <c r="A97" s="13">
        <v>44652</v>
      </c>
      <c r="B97">
        <v>1425</v>
      </c>
      <c r="C97">
        <v>500</v>
      </c>
      <c r="D97" t="s">
        <v>7</v>
      </c>
      <c r="F97" t="s">
        <v>42</v>
      </c>
      <c r="G97" t="s">
        <v>1</v>
      </c>
      <c r="H97" s="16">
        <v>0.05</v>
      </c>
      <c r="I97" s="1">
        <v>1.77</v>
      </c>
      <c r="J97">
        <v>163</v>
      </c>
      <c r="K97" s="14">
        <f t="shared" si="2"/>
        <v>288.51</v>
      </c>
      <c r="L97" t="s">
        <v>2</v>
      </c>
    </row>
    <row r="98" spans="1:12" x14ac:dyDescent="0.35">
      <c r="A98" s="13">
        <v>44652</v>
      </c>
      <c r="B98">
        <v>1305</v>
      </c>
      <c r="C98">
        <v>500</v>
      </c>
      <c r="D98" t="s">
        <v>8</v>
      </c>
      <c r="G98" t="s">
        <v>1</v>
      </c>
      <c r="H98" s="16">
        <v>0.05</v>
      </c>
      <c r="I98" s="1">
        <v>1.37</v>
      </c>
      <c r="J98">
        <v>166</v>
      </c>
      <c r="K98" s="14">
        <f t="shared" si="2"/>
        <v>227.42000000000002</v>
      </c>
      <c r="L98" t="s">
        <v>2</v>
      </c>
    </row>
    <row r="99" spans="1:12" x14ac:dyDescent="0.35">
      <c r="A99" s="13">
        <v>44652</v>
      </c>
      <c r="B99">
        <v>1109</v>
      </c>
      <c r="C99">
        <v>250</v>
      </c>
      <c r="D99" t="s">
        <v>10</v>
      </c>
      <c r="G99" t="s">
        <v>1</v>
      </c>
      <c r="H99" s="16">
        <v>0.05</v>
      </c>
      <c r="I99" s="1">
        <v>1.79</v>
      </c>
      <c r="J99">
        <v>378</v>
      </c>
      <c r="K99" s="14">
        <f t="shared" si="2"/>
        <v>676.62</v>
      </c>
      <c r="L99" t="s">
        <v>2</v>
      </c>
    </row>
    <row r="100" spans="1:12" x14ac:dyDescent="0.35">
      <c r="A100" s="13">
        <v>44652</v>
      </c>
      <c r="B100">
        <v>1489</v>
      </c>
      <c r="C100">
        <v>500</v>
      </c>
      <c r="D100" t="s">
        <v>11</v>
      </c>
      <c r="G100" t="s">
        <v>1</v>
      </c>
      <c r="H100" s="16">
        <v>0.05</v>
      </c>
      <c r="I100" s="1">
        <v>1.08</v>
      </c>
      <c r="J100">
        <v>2519</v>
      </c>
      <c r="K100" s="14">
        <f t="shared" si="2"/>
        <v>2720.52</v>
      </c>
      <c r="L100" t="s">
        <v>2</v>
      </c>
    </row>
    <row r="101" spans="1:12" x14ac:dyDescent="0.35">
      <c r="A101" s="13">
        <v>44652</v>
      </c>
      <c r="B101">
        <v>1277</v>
      </c>
      <c r="C101">
        <v>500</v>
      </c>
      <c r="D101" t="s">
        <v>13</v>
      </c>
      <c r="G101" t="s">
        <v>1</v>
      </c>
      <c r="H101" s="16">
        <v>0.05</v>
      </c>
      <c r="I101" s="1">
        <v>1.57</v>
      </c>
      <c r="J101">
        <v>323</v>
      </c>
      <c r="K101" s="14">
        <f t="shared" si="2"/>
        <v>507.11</v>
      </c>
      <c r="L101" t="s">
        <v>2</v>
      </c>
    </row>
    <row r="102" spans="1:12" x14ac:dyDescent="0.35">
      <c r="A102" s="13">
        <v>44652</v>
      </c>
      <c r="B102">
        <v>1122</v>
      </c>
      <c r="C102">
        <v>500</v>
      </c>
      <c r="D102" t="s">
        <v>14</v>
      </c>
      <c r="G102" t="s">
        <v>1</v>
      </c>
      <c r="H102" s="16">
        <v>0.05</v>
      </c>
      <c r="I102" s="1">
        <v>1.9</v>
      </c>
      <c r="J102">
        <v>1918</v>
      </c>
      <c r="K102" s="14">
        <f t="shared" si="2"/>
        <v>3644.2</v>
      </c>
      <c r="L102" t="s">
        <v>2</v>
      </c>
    </row>
    <row r="103" spans="1:12" x14ac:dyDescent="0.35">
      <c r="A103" s="13">
        <v>44652</v>
      </c>
      <c r="B103">
        <v>1990</v>
      </c>
      <c r="C103">
        <v>500</v>
      </c>
      <c r="D103" t="s">
        <v>15</v>
      </c>
      <c r="G103" t="s">
        <v>1</v>
      </c>
      <c r="H103" s="16">
        <v>0.05</v>
      </c>
      <c r="I103" s="1">
        <v>1.54</v>
      </c>
      <c r="J103">
        <v>4601</v>
      </c>
      <c r="K103" s="14">
        <f t="shared" si="2"/>
        <v>7085.54</v>
      </c>
      <c r="L103" t="s">
        <v>2</v>
      </c>
    </row>
    <row r="104" spans="1:12" x14ac:dyDescent="0.35">
      <c r="A104" s="13">
        <v>44652</v>
      </c>
      <c r="B104">
        <v>1317</v>
      </c>
      <c r="C104">
        <v>500</v>
      </c>
      <c r="D104" t="s">
        <v>16</v>
      </c>
      <c r="G104" t="s">
        <v>1</v>
      </c>
      <c r="H104" s="16">
        <v>0.05</v>
      </c>
      <c r="I104" s="1">
        <v>1.19</v>
      </c>
      <c r="J104">
        <v>1262</v>
      </c>
      <c r="K104" s="14">
        <f t="shared" si="2"/>
        <v>1501.78</v>
      </c>
      <c r="L104" t="s">
        <v>2</v>
      </c>
    </row>
    <row r="105" spans="1:12" x14ac:dyDescent="0.35">
      <c r="A105" s="13">
        <v>44652</v>
      </c>
      <c r="B105">
        <v>1874</v>
      </c>
      <c r="C105">
        <v>500</v>
      </c>
      <c r="D105" t="s">
        <v>17</v>
      </c>
      <c r="G105" t="s">
        <v>1</v>
      </c>
      <c r="H105" s="16">
        <v>0.05</v>
      </c>
      <c r="I105" s="1">
        <v>1.4</v>
      </c>
      <c r="J105">
        <v>1167</v>
      </c>
      <c r="K105" s="14">
        <f t="shared" si="2"/>
        <v>1633.8</v>
      </c>
      <c r="L105" t="s">
        <v>2</v>
      </c>
    </row>
    <row r="106" spans="1:12" x14ac:dyDescent="0.35">
      <c r="A106" s="13">
        <v>44652</v>
      </c>
      <c r="B106">
        <v>1738</v>
      </c>
      <c r="C106">
        <v>500</v>
      </c>
      <c r="D106" t="s">
        <v>18</v>
      </c>
      <c r="G106" t="s">
        <v>1</v>
      </c>
      <c r="H106" s="16">
        <v>0.05</v>
      </c>
      <c r="I106" s="1">
        <v>1.25</v>
      </c>
      <c r="J106">
        <v>636</v>
      </c>
      <c r="K106" s="14">
        <f t="shared" si="2"/>
        <v>795</v>
      </c>
      <c r="L106" t="s">
        <v>2</v>
      </c>
    </row>
    <row r="107" spans="1:12" x14ac:dyDescent="0.35">
      <c r="A107" s="13">
        <v>44652</v>
      </c>
      <c r="B107">
        <v>1321</v>
      </c>
      <c r="C107">
        <v>500</v>
      </c>
      <c r="D107" t="s">
        <v>7</v>
      </c>
      <c r="F107" t="s">
        <v>42</v>
      </c>
      <c r="G107" t="s">
        <v>1</v>
      </c>
      <c r="H107" s="16">
        <v>0.05</v>
      </c>
      <c r="I107" s="1">
        <v>1.57</v>
      </c>
      <c r="J107">
        <v>142</v>
      </c>
      <c r="K107" s="14">
        <f t="shared" si="2"/>
        <v>222.94</v>
      </c>
      <c r="L107" t="s">
        <v>2</v>
      </c>
    </row>
    <row r="108" spans="1:12" x14ac:dyDescent="0.35">
      <c r="A108" s="13">
        <v>44652</v>
      </c>
      <c r="B108">
        <v>1129</v>
      </c>
      <c r="C108">
        <v>500</v>
      </c>
      <c r="D108" t="s">
        <v>19</v>
      </c>
      <c r="G108" t="s">
        <v>1</v>
      </c>
      <c r="H108" s="16">
        <v>0.05</v>
      </c>
      <c r="I108" s="1">
        <v>1.29</v>
      </c>
      <c r="J108">
        <v>963</v>
      </c>
      <c r="K108" s="14">
        <f t="shared" si="2"/>
        <v>1242.27</v>
      </c>
      <c r="L108" t="s">
        <v>2</v>
      </c>
    </row>
    <row r="109" spans="1:12" x14ac:dyDescent="0.35">
      <c r="A109" s="13">
        <v>44652</v>
      </c>
      <c r="B109">
        <v>1959</v>
      </c>
      <c r="C109">
        <v>500</v>
      </c>
      <c r="D109" t="s">
        <v>20</v>
      </c>
      <c r="F109" t="s">
        <v>42</v>
      </c>
      <c r="G109" t="s">
        <v>1</v>
      </c>
      <c r="H109" s="16">
        <v>0.05</v>
      </c>
      <c r="I109" s="1">
        <v>1.51</v>
      </c>
      <c r="J109">
        <v>1140</v>
      </c>
      <c r="K109" s="14">
        <f t="shared" si="2"/>
        <v>1721.4</v>
      </c>
      <c r="L109" t="s">
        <v>2</v>
      </c>
    </row>
    <row r="110" spans="1:12" x14ac:dyDescent="0.35">
      <c r="A110" s="13">
        <v>44652</v>
      </c>
      <c r="B110">
        <v>1759</v>
      </c>
      <c r="C110">
        <v>1000</v>
      </c>
      <c r="D110" t="s">
        <v>20</v>
      </c>
      <c r="G110" t="s">
        <v>1</v>
      </c>
      <c r="H110" s="16">
        <v>0.05</v>
      </c>
      <c r="I110" s="1">
        <v>1.85</v>
      </c>
      <c r="J110">
        <v>2978</v>
      </c>
      <c r="K110" s="14">
        <f t="shared" si="2"/>
        <v>5509.3</v>
      </c>
      <c r="L110" t="s">
        <v>2</v>
      </c>
    </row>
    <row r="111" spans="1:12" x14ac:dyDescent="0.35">
      <c r="A111" s="13">
        <v>44652</v>
      </c>
      <c r="B111">
        <v>1337</v>
      </c>
      <c r="C111">
        <v>500</v>
      </c>
      <c r="D111" t="s">
        <v>20</v>
      </c>
      <c r="E111" t="s">
        <v>41</v>
      </c>
      <c r="G111" t="s">
        <v>1</v>
      </c>
      <c r="H111" s="16">
        <v>0.05</v>
      </c>
      <c r="I111" s="1">
        <v>2.5</v>
      </c>
      <c r="J111">
        <v>1289</v>
      </c>
      <c r="K111" s="14">
        <f t="shared" si="2"/>
        <v>3222.5</v>
      </c>
      <c r="L111" t="s">
        <v>2</v>
      </c>
    </row>
    <row r="112" spans="1:12" x14ac:dyDescent="0.35">
      <c r="A112" s="13">
        <v>44652</v>
      </c>
      <c r="B112">
        <v>1239</v>
      </c>
      <c r="C112">
        <v>500</v>
      </c>
      <c r="D112" t="s">
        <v>20</v>
      </c>
      <c r="G112" t="s">
        <v>1</v>
      </c>
      <c r="H112" s="16">
        <v>0.05</v>
      </c>
      <c r="I112" s="1">
        <v>1.1299999999999999</v>
      </c>
      <c r="J112">
        <v>4118</v>
      </c>
      <c r="K112" s="14">
        <f t="shared" si="2"/>
        <v>4653.3399999999992</v>
      </c>
      <c r="L112" t="s">
        <v>2</v>
      </c>
    </row>
    <row r="113" spans="1:12" x14ac:dyDescent="0.35">
      <c r="A113" s="13">
        <v>44652</v>
      </c>
      <c r="B113">
        <v>1444</v>
      </c>
      <c r="C113">
        <v>500</v>
      </c>
      <c r="D113" t="s">
        <v>21</v>
      </c>
      <c r="G113" t="s">
        <v>1</v>
      </c>
      <c r="H113" s="16">
        <v>0.05</v>
      </c>
      <c r="I113" s="1">
        <v>1.26</v>
      </c>
      <c r="J113">
        <v>700</v>
      </c>
      <c r="K113" s="14">
        <f t="shared" si="2"/>
        <v>882</v>
      </c>
      <c r="L113" t="s">
        <v>2</v>
      </c>
    </row>
    <row r="114" spans="1:12" x14ac:dyDescent="0.35">
      <c r="A114" s="13">
        <v>44652</v>
      </c>
      <c r="B114">
        <v>1170</v>
      </c>
      <c r="C114">
        <v>1000</v>
      </c>
      <c r="D114" t="s">
        <v>22</v>
      </c>
      <c r="G114" t="s">
        <v>1</v>
      </c>
      <c r="H114" s="16">
        <v>0.05</v>
      </c>
      <c r="I114" s="1">
        <v>1.76</v>
      </c>
      <c r="J114">
        <v>2600</v>
      </c>
      <c r="K114" s="14">
        <f t="shared" si="2"/>
        <v>4576</v>
      </c>
      <c r="L114" t="s">
        <v>2</v>
      </c>
    </row>
    <row r="115" spans="1:12" x14ac:dyDescent="0.35">
      <c r="A115" s="13">
        <v>44652</v>
      </c>
      <c r="B115">
        <v>1116</v>
      </c>
      <c r="C115">
        <v>1000</v>
      </c>
      <c r="D115" t="s">
        <v>23</v>
      </c>
      <c r="G115" t="s">
        <v>1</v>
      </c>
      <c r="H115" s="16">
        <v>0.05</v>
      </c>
      <c r="I115" s="1">
        <v>1.93</v>
      </c>
      <c r="J115">
        <v>312</v>
      </c>
      <c r="K115" s="14">
        <f t="shared" si="2"/>
        <v>602.16</v>
      </c>
      <c r="L115" t="s">
        <v>2</v>
      </c>
    </row>
    <row r="116" spans="1:12" x14ac:dyDescent="0.35">
      <c r="A116" s="13">
        <v>44652</v>
      </c>
      <c r="B116">
        <v>1752</v>
      </c>
      <c r="C116">
        <v>500</v>
      </c>
      <c r="D116" t="s">
        <v>22</v>
      </c>
      <c r="G116" t="s">
        <v>1</v>
      </c>
      <c r="H116" s="16">
        <v>0.05</v>
      </c>
      <c r="I116" s="1">
        <v>0.98</v>
      </c>
      <c r="J116">
        <v>2861</v>
      </c>
      <c r="K116" s="14">
        <f t="shared" si="2"/>
        <v>2803.7799999999997</v>
      </c>
      <c r="L116" t="s">
        <v>2</v>
      </c>
    </row>
    <row r="117" spans="1:12" x14ac:dyDescent="0.35">
      <c r="A117" s="13">
        <v>44652</v>
      </c>
      <c r="B117">
        <v>1827</v>
      </c>
      <c r="C117">
        <v>500</v>
      </c>
      <c r="D117" t="s">
        <v>22</v>
      </c>
      <c r="E117" t="s">
        <v>41</v>
      </c>
      <c r="G117" t="s">
        <v>1</v>
      </c>
      <c r="H117" s="16">
        <v>0.05</v>
      </c>
      <c r="I117" s="1">
        <v>2.61</v>
      </c>
      <c r="J117">
        <v>1635</v>
      </c>
      <c r="K117" s="14">
        <f t="shared" si="2"/>
        <v>4267.3499999999995</v>
      </c>
      <c r="L117" t="s">
        <v>2</v>
      </c>
    </row>
    <row r="118" spans="1:12" x14ac:dyDescent="0.35">
      <c r="A118" s="13">
        <v>44652</v>
      </c>
      <c r="B118">
        <v>1378</v>
      </c>
      <c r="C118">
        <v>500</v>
      </c>
      <c r="D118" t="s">
        <v>22</v>
      </c>
      <c r="F118" t="s">
        <v>42</v>
      </c>
      <c r="G118" t="s">
        <v>1</v>
      </c>
      <c r="H118" s="16">
        <v>0.05</v>
      </c>
      <c r="I118" s="1">
        <v>1.54</v>
      </c>
      <c r="J118">
        <v>271</v>
      </c>
      <c r="K118" s="14">
        <f t="shared" si="2"/>
        <v>417.34000000000003</v>
      </c>
      <c r="L118" t="s">
        <v>2</v>
      </c>
    </row>
    <row r="119" spans="1:12" x14ac:dyDescent="0.35">
      <c r="A119" s="13">
        <v>44652</v>
      </c>
      <c r="B119">
        <v>1315</v>
      </c>
      <c r="C119">
        <v>500</v>
      </c>
      <c r="D119" t="s">
        <v>24</v>
      </c>
      <c r="G119" t="s">
        <v>1</v>
      </c>
      <c r="H119" s="16">
        <v>0.05</v>
      </c>
      <c r="I119" s="1">
        <v>1.4</v>
      </c>
      <c r="J119">
        <v>929</v>
      </c>
      <c r="K119" s="14">
        <f t="shared" si="2"/>
        <v>1300.5999999999999</v>
      </c>
      <c r="L119" t="s">
        <v>2</v>
      </c>
    </row>
    <row r="120" spans="1:12" x14ac:dyDescent="0.35">
      <c r="A120" s="13">
        <v>44652</v>
      </c>
      <c r="B120">
        <v>1582</v>
      </c>
      <c r="C120">
        <v>500</v>
      </c>
      <c r="D120" t="s">
        <v>23</v>
      </c>
      <c r="G120" t="s">
        <v>1</v>
      </c>
      <c r="H120" s="16">
        <v>0.05</v>
      </c>
      <c r="I120" s="1">
        <v>1.0900000000000001</v>
      </c>
      <c r="J120">
        <v>2111</v>
      </c>
      <c r="K120" s="14">
        <f t="shared" si="2"/>
        <v>2300.9900000000002</v>
      </c>
      <c r="L120" t="s">
        <v>2</v>
      </c>
    </row>
    <row r="121" spans="1:12" x14ac:dyDescent="0.35">
      <c r="A121" s="13">
        <v>44652</v>
      </c>
      <c r="B121">
        <v>1217</v>
      </c>
      <c r="C121">
        <v>500</v>
      </c>
      <c r="D121" t="s">
        <v>25</v>
      </c>
      <c r="G121" t="s">
        <v>1</v>
      </c>
      <c r="H121" s="16">
        <v>0.05</v>
      </c>
      <c r="I121" s="1">
        <v>1.93</v>
      </c>
      <c r="J121">
        <v>1698</v>
      </c>
      <c r="K121" s="14">
        <f t="shared" si="2"/>
        <v>3277.14</v>
      </c>
      <c r="L121" t="s">
        <v>2</v>
      </c>
    </row>
    <row r="122" spans="1:12" x14ac:dyDescent="0.35">
      <c r="A122" s="13">
        <v>44652</v>
      </c>
      <c r="B122">
        <v>1890</v>
      </c>
      <c r="C122">
        <v>500</v>
      </c>
      <c r="D122" t="s">
        <v>25</v>
      </c>
      <c r="F122" t="s">
        <v>42</v>
      </c>
      <c r="G122" t="s">
        <v>1</v>
      </c>
      <c r="H122" s="16">
        <v>0.05</v>
      </c>
      <c r="I122" s="1">
        <v>1.66</v>
      </c>
      <c r="J122">
        <v>739</v>
      </c>
      <c r="K122" s="14">
        <f t="shared" si="2"/>
        <v>1226.74</v>
      </c>
      <c r="L122" t="s">
        <v>2</v>
      </c>
    </row>
    <row r="123" spans="1:12" x14ac:dyDescent="0.35">
      <c r="A123" s="13">
        <v>44652</v>
      </c>
      <c r="B123">
        <v>1785</v>
      </c>
      <c r="C123">
        <v>500</v>
      </c>
      <c r="D123" t="s">
        <v>26</v>
      </c>
      <c r="F123" t="s">
        <v>42</v>
      </c>
      <c r="G123" t="s">
        <v>1</v>
      </c>
      <c r="H123" s="16">
        <v>0.05</v>
      </c>
      <c r="I123" s="1">
        <v>1.56</v>
      </c>
      <c r="J123">
        <v>24</v>
      </c>
      <c r="K123" s="14">
        <f t="shared" si="2"/>
        <v>37.44</v>
      </c>
      <c r="L123" t="s">
        <v>2</v>
      </c>
    </row>
    <row r="124" spans="1:12" x14ac:dyDescent="0.35">
      <c r="A124" s="13">
        <v>44652</v>
      </c>
      <c r="B124">
        <v>1132</v>
      </c>
      <c r="C124">
        <v>500</v>
      </c>
      <c r="D124" t="s">
        <v>27</v>
      </c>
      <c r="G124" t="s">
        <v>1</v>
      </c>
      <c r="H124" s="16">
        <v>0.05</v>
      </c>
      <c r="I124" s="1">
        <v>1.63</v>
      </c>
      <c r="J124">
        <v>227</v>
      </c>
      <c r="K124" s="14">
        <f t="shared" si="2"/>
        <v>370.01</v>
      </c>
      <c r="L124" t="s">
        <v>2</v>
      </c>
    </row>
    <row r="125" spans="1:12" x14ac:dyDescent="0.35">
      <c r="A125" s="13">
        <v>44652</v>
      </c>
      <c r="B125">
        <v>1119</v>
      </c>
      <c r="C125">
        <v>500</v>
      </c>
      <c r="D125" t="s">
        <v>28</v>
      </c>
      <c r="G125" t="s">
        <v>1</v>
      </c>
      <c r="H125" s="16">
        <v>0.05</v>
      </c>
      <c r="I125" s="1">
        <v>1.6</v>
      </c>
      <c r="J125">
        <v>583</v>
      </c>
      <c r="K125" s="14">
        <f t="shared" si="2"/>
        <v>932.80000000000007</v>
      </c>
      <c r="L125" t="s">
        <v>2</v>
      </c>
    </row>
    <row r="126" spans="1:12" x14ac:dyDescent="0.35">
      <c r="A126" s="13">
        <v>44652</v>
      </c>
      <c r="B126">
        <v>1168</v>
      </c>
      <c r="C126">
        <v>500</v>
      </c>
      <c r="D126" t="s">
        <v>29</v>
      </c>
      <c r="G126" t="s">
        <v>1</v>
      </c>
      <c r="H126" s="16">
        <v>0.05</v>
      </c>
      <c r="I126" s="1">
        <v>1.46</v>
      </c>
      <c r="J126">
        <v>337</v>
      </c>
      <c r="K126" s="14">
        <f t="shared" si="2"/>
        <v>492.02</v>
      </c>
      <c r="L126" t="s">
        <v>2</v>
      </c>
    </row>
    <row r="127" spans="1:12" x14ac:dyDescent="0.35">
      <c r="A127" s="13">
        <v>44682</v>
      </c>
      <c r="B127">
        <v>1930</v>
      </c>
      <c r="C127">
        <v>250</v>
      </c>
      <c r="D127" t="s">
        <v>0</v>
      </c>
      <c r="G127" t="s">
        <v>1</v>
      </c>
      <c r="H127" s="16">
        <v>0.05</v>
      </c>
      <c r="I127" s="1">
        <v>1.58</v>
      </c>
      <c r="J127">
        <v>447</v>
      </c>
      <c r="K127" s="14">
        <f>J127*I127</f>
        <v>706.26</v>
      </c>
      <c r="L127" t="s">
        <v>2</v>
      </c>
    </row>
    <row r="128" spans="1:12" x14ac:dyDescent="0.35">
      <c r="A128" s="13">
        <v>44682</v>
      </c>
      <c r="B128">
        <v>1895</v>
      </c>
      <c r="C128">
        <v>500</v>
      </c>
      <c r="D128" t="s">
        <v>3</v>
      </c>
      <c r="G128" t="s">
        <v>1</v>
      </c>
      <c r="H128" s="16">
        <v>0.05</v>
      </c>
      <c r="I128" s="1">
        <v>1.19</v>
      </c>
      <c r="J128">
        <v>2339</v>
      </c>
      <c r="K128" s="14">
        <f t="shared" ref="K128:K165" si="3">J128*I128</f>
        <v>2783.41</v>
      </c>
      <c r="L128" t="s">
        <v>2</v>
      </c>
    </row>
    <row r="129" spans="1:12" x14ac:dyDescent="0.35">
      <c r="A129" s="13">
        <v>44682</v>
      </c>
      <c r="B129">
        <v>1282</v>
      </c>
      <c r="C129">
        <v>500</v>
      </c>
      <c r="D129" t="s">
        <v>4</v>
      </c>
      <c r="G129" t="s">
        <v>1</v>
      </c>
      <c r="H129" s="16">
        <v>0.05</v>
      </c>
      <c r="I129" s="1">
        <v>1.57</v>
      </c>
      <c r="J129">
        <v>730</v>
      </c>
      <c r="K129" s="14">
        <f t="shared" si="3"/>
        <v>1146.1000000000001</v>
      </c>
      <c r="L129" t="s">
        <v>2</v>
      </c>
    </row>
    <row r="130" spans="1:12" x14ac:dyDescent="0.35">
      <c r="A130" s="13">
        <v>44682</v>
      </c>
      <c r="B130">
        <v>1451</v>
      </c>
      <c r="C130">
        <v>500</v>
      </c>
      <c r="D130" t="s">
        <v>5</v>
      </c>
      <c r="G130" t="s">
        <v>1</v>
      </c>
      <c r="H130" s="16">
        <v>0.05</v>
      </c>
      <c r="I130" s="1">
        <v>1.59</v>
      </c>
      <c r="J130">
        <v>673</v>
      </c>
      <c r="K130" s="14">
        <f t="shared" si="3"/>
        <v>1070.0700000000002</v>
      </c>
      <c r="L130" t="s">
        <v>2</v>
      </c>
    </row>
    <row r="131" spans="1:12" x14ac:dyDescent="0.35">
      <c r="A131" s="13">
        <v>44682</v>
      </c>
      <c r="B131">
        <v>1884</v>
      </c>
      <c r="C131">
        <v>500</v>
      </c>
      <c r="D131" t="s">
        <v>6</v>
      </c>
      <c r="E131" t="s">
        <v>41</v>
      </c>
      <c r="G131" t="s">
        <v>1</v>
      </c>
      <c r="H131" s="16">
        <v>0.05</v>
      </c>
      <c r="I131" s="1">
        <v>2.64</v>
      </c>
      <c r="J131">
        <v>347</v>
      </c>
      <c r="K131" s="14">
        <f t="shared" si="3"/>
        <v>916.08</v>
      </c>
      <c r="L131" t="s">
        <v>2</v>
      </c>
    </row>
    <row r="132" spans="1:12" x14ac:dyDescent="0.35">
      <c r="A132" s="13">
        <v>44682</v>
      </c>
      <c r="B132">
        <v>1214</v>
      </c>
      <c r="C132">
        <v>500</v>
      </c>
      <c r="D132" t="s">
        <v>6</v>
      </c>
      <c r="G132" t="s">
        <v>1</v>
      </c>
      <c r="H132" s="16">
        <v>0.05</v>
      </c>
      <c r="I132" s="1">
        <v>1.02</v>
      </c>
      <c r="J132">
        <v>3321</v>
      </c>
      <c r="K132" s="14">
        <f t="shared" si="3"/>
        <v>3387.42</v>
      </c>
      <c r="L132" t="s">
        <v>2</v>
      </c>
    </row>
    <row r="133" spans="1:12" x14ac:dyDescent="0.35">
      <c r="A133" s="13">
        <v>44682</v>
      </c>
      <c r="B133">
        <v>1323</v>
      </c>
      <c r="C133">
        <v>500</v>
      </c>
      <c r="D133" t="s">
        <v>6</v>
      </c>
      <c r="F133" t="s">
        <v>42</v>
      </c>
      <c r="G133" t="s">
        <v>1</v>
      </c>
      <c r="H133" s="16">
        <v>0.05</v>
      </c>
      <c r="I133" s="1">
        <v>1.17</v>
      </c>
      <c r="J133">
        <v>88</v>
      </c>
      <c r="K133" s="14">
        <f t="shared" si="3"/>
        <v>102.96</v>
      </c>
      <c r="L133" t="s">
        <v>2</v>
      </c>
    </row>
    <row r="134" spans="1:12" x14ac:dyDescent="0.35">
      <c r="A134" s="13">
        <v>44682</v>
      </c>
      <c r="B134">
        <v>1320</v>
      </c>
      <c r="C134">
        <v>1000</v>
      </c>
      <c r="D134" t="s">
        <v>6</v>
      </c>
      <c r="G134" t="s">
        <v>1</v>
      </c>
      <c r="H134" s="16">
        <v>0.05</v>
      </c>
      <c r="I134" s="1">
        <v>1.89</v>
      </c>
      <c r="J134">
        <v>2251</v>
      </c>
      <c r="K134" s="14">
        <f t="shared" si="3"/>
        <v>4254.3899999999994</v>
      </c>
      <c r="L134" t="s">
        <v>2</v>
      </c>
    </row>
    <row r="135" spans="1:12" x14ac:dyDescent="0.35">
      <c r="A135" s="13">
        <v>44682</v>
      </c>
      <c r="B135">
        <v>1894</v>
      </c>
      <c r="C135">
        <v>500</v>
      </c>
      <c r="D135" t="s">
        <v>7</v>
      </c>
      <c r="G135" t="s">
        <v>1</v>
      </c>
      <c r="H135" s="16">
        <v>0.05</v>
      </c>
      <c r="I135" s="1">
        <v>1.1299999999999999</v>
      </c>
      <c r="J135">
        <v>2250</v>
      </c>
      <c r="K135" s="14">
        <f t="shared" si="3"/>
        <v>2542.4999999999995</v>
      </c>
      <c r="L135" t="s">
        <v>2</v>
      </c>
    </row>
    <row r="136" spans="1:12" x14ac:dyDescent="0.35">
      <c r="A136" s="13">
        <v>44682</v>
      </c>
      <c r="B136">
        <v>1425</v>
      </c>
      <c r="C136">
        <v>500</v>
      </c>
      <c r="D136" t="s">
        <v>7</v>
      </c>
      <c r="F136" t="s">
        <v>42</v>
      </c>
      <c r="G136" t="s">
        <v>1</v>
      </c>
      <c r="H136" s="16">
        <v>0.05</v>
      </c>
      <c r="I136" s="1">
        <v>1.67</v>
      </c>
      <c r="J136">
        <v>13</v>
      </c>
      <c r="K136" s="14">
        <f t="shared" si="3"/>
        <v>21.71</v>
      </c>
      <c r="L136" t="s">
        <v>2</v>
      </c>
    </row>
    <row r="137" spans="1:12" x14ac:dyDescent="0.35">
      <c r="A137" s="13">
        <v>44682</v>
      </c>
      <c r="B137">
        <v>1305</v>
      </c>
      <c r="C137">
        <v>500</v>
      </c>
      <c r="D137" t="s">
        <v>8</v>
      </c>
      <c r="G137" t="s">
        <v>1</v>
      </c>
      <c r="H137" s="16">
        <v>0.05</v>
      </c>
      <c r="I137" s="1">
        <v>1.41</v>
      </c>
      <c r="J137">
        <v>528</v>
      </c>
      <c r="K137" s="14">
        <f t="shared" si="3"/>
        <v>744.4799999999999</v>
      </c>
      <c r="L137" t="s">
        <v>2</v>
      </c>
    </row>
    <row r="138" spans="1:12" x14ac:dyDescent="0.35">
      <c r="A138" s="13">
        <v>44682</v>
      </c>
      <c r="B138">
        <v>1109</v>
      </c>
      <c r="C138">
        <v>250</v>
      </c>
      <c r="D138" t="s">
        <v>10</v>
      </c>
      <c r="G138" t="s">
        <v>1</v>
      </c>
      <c r="H138" s="16">
        <v>0.05</v>
      </c>
      <c r="I138" s="1">
        <v>1.79</v>
      </c>
      <c r="J138">
        <v>486</v>
      </c>
      <c r="K138" s="14">
        <f t="shared" si="3"/>
        <v>869.94</v>
      </c>
      <c r="L138" t="s">
        <v>2</v>
      </c>
    </row>
    <row r="139" spans="1:12" x14ac:dyDescent="0.35">
      <c r="A139" s="13">
        <v>44682</v>
      </c>
      <c r="B139">
        <v>1489</v>
      </c>
      <c r="C139">
        <v>500</v>
      </c>
      <c r="D139" t="s">
        <v>11</v>
      </c>
      <c r="G139" t="s">
        <v>1</v>
      </c>
      <c r="H139" s="16">
        <v>0.05</v>
      </c>
      <c r="I139" s="1">
        <v>1.05</v>
      </c>
      <c r="J139">
        <v>2550</v>
      </c>
      <c r="K139" s="14">
        <f t="shared" si="3"/>
        <v>2677.5</v>
      </c>
      <c r="L139" t="s">
        <v>2</v>
      </c>
    </row>
    <row r="140" spans="1:12" x14ac:dyDescent="0.35">
      <c r="A140" s="13">
        <v>44682</v>
      </c>
      <c r="B140">
        <v>1277</v>
      </c>
      <c r="C140">
        <v>500</v>
      </c>
      <c r="D140" t="s">
        <v>13</v>
      </c>
      <c r="G140" t="s">
        <v>1</v>
      </c>
      <c r="H140" s="16">
        <v>0.05</v>
      </c>
      <c r="I140" s="1">
        <v>1.6</v>
      </c>
      <c r="J140">
        <v>293</v>
      </c>
      <c r="K140" s="14">
        <f t="shared" si="3"/>
        <v>468.8</v>
      </c>
      <c r="L140" t="s">
        <v>2</v>
      </c>
    </row>
    <row r="141" spans="1:12" x14ac:dyDescent="0.35">
      <c r="A141" s="13">
        <v>44682</v>
      </c>
      <c r="B141">
        <v>1122</v>
      </c>
      <c r="C141">
        <v>500</v>
      </c>
      <c r="D141" t="s">
        <v>14</v>
      </c>
      <c r="G141" t="s">
        <v>1</v>
      </c>
      <c r="H141" s="16">
        <v>0.05</v>
      </c>
      <c r="I141" s="1">
        <v>1.98</v>
      </c>
      <c r="J141">
        <v>1078</v>
      </c>
      <c r="K141" s="14">
        <f t="shared" si="3"/>
        <v>2134.44</v>
      </c>
      <c r="L141" t="s">
        <v>2</v>
      </c>
    </row>
    <row r="142" spans="1:12" x14ac:dyDescent="0.35">
      <c r="A142" s="13">
        <v>44682</v>
      </c>
      <c r="B142">
        <v>1990</v>
      </c>
      <c r="C142">
        <v>500</v>
      </c>
      <c r="D142" t="s">
        <v>15</v>
      </c>
      <c r="G142" t="s">
        <v>1</v>
      </c>
      <c r="H142" s="16">
        <v>0.05</v>
      </c>
      <c r="I142" s="1">
        <v>1.61</v>
      </c>
      <c r="J142">
        <v>2746</v>
      </c>
      <c r="K142" s="14">
        <f t="shared" si="3"/>
        <v>4421.0600000000004</v>
      </c>
      <c r="L142" t="s">
        <v>2</v>
      </c>
    </row>
    <row r="143" spans="1:12" x14ac:dyDescent="0.35">
      <c r="A143" s="13">
        <v>44682</v>
      </c>
      <c r="B143">
        <v>1317</v>
      </c>
      <c r="C143">
        <v>500</v>
      </c>
      <c r="D143" t="s">
        <v>16</v>
      </c>
      <c r="G143" t="s">
        <v>1</v>
      </c>
      <c r="H143" s="16">
        <v>0.05</v>
      </c>
      <c r="I143" s="1">
        <v>1.23</v>
      </c>
      <c r="J143">
        <v>817</v>
      </c>
      <c r="K143" s="14">
        <f t="shared" si="3"/>
        <v>1004.91</v>
      </c>
      <c r="L143" t="s">
        <v>2</v>
      </c>
    </row>
    <row r="144" spans="1:12" x14ac:dyDescent="0.35">
      <c r="A144" s="13">
        <v>44682</v>
      </c>
      <c r="B144">
        <v>1874</v>
      </c>
      <c r="C144">
        <v>500</v>
      </c>
      <c r="D144" t="s">
        <v>17</v>
      </c>
      <c r="G144" t="s">
        <v>1</v>
      </c>
      <c r="H144" s="16">
        <v>0.05</v>
      </c>
      <c r="I144" s="1">
        <v>1.41</v>
      </c>
      <c r="J144">
        <v>1750</v>
      </c>
      <c r="K144" s="14">
        <f t="shared" si="3"/>
        <v>2467.5</v>
      </c>
      <c r="L144" t="s">
        <v>2</v>
      </c>
    </row>
    <row r="145" spans="1:12" x14ac:dyDescent="0.35">
      <c r="A145" s="13">
        <v>44682</v>
      </c>
      <c r="B145">
        <v>1738</v>
      </c>
      <c r="C145">
        <v>500</v>
      </c>
      <c r="D145" t="s">
        <v>18</v>
      </c>
      <c r="G145" t="s">
        <v>1</v>
      </c>
      <c r="H145" s="16">
        <v>0.05</v>
      </c>
      <c r="I145" s="1">
        <v>1.33</v>
      </c>
      <c r="J145">
        <v>576</v>
      </c>
      <c r="K145" s="14">
        <f t="shared" si="3"/>
        <v>766.08</v>
      </c>
      <c r="L145" t="s">
        <v>2</v>
      </c>
    </row>
    <row r="146" spans="1:12" x14ac:dyDescent="0.35">
      <c r="A146" s="13">
        <v>44682</v>
      </c>
      <c r="B146">
        <v>1321</v>
      </c>
      <c r="C146">
        <v>500</v>
      </c>
      <c r="D146" t="s">
        <v>7</v>
      </c>
      <c r="F146" t="s">
        <v>42</v>
      </c>
      <c r="G146" t="s">
        <v>1</v>
      </c>
      <c r="H146" s="16">
        <v>0.05</v>
      </c>
      <c r="I146" s="1">
        <v>1.7</v>
      </c>
      <c r="J146">
        <v>158</v>
      </c>
      <c r="K146" s="14">
        <f t="shared" si="3"/>
        <v>268.59999999999997</v>
      </c>
      <c r="L146" t="s">
        <v>2</v>
      </c>
    </row>
    <row r="147" spans="1:12" x14ac:dyDescent="0.35">
      <c r="A147" s="13">
        <v>44682</v>
      </c>
      <c r="B147">
        <v>1129</v>
      </c>
      <c r="C147">
        <v>500</v>
      </c>
      <c r="D147" t="s">
        <v>19</v>
      </c>
      <c r="G147" t="s">
        <v>1</v>
      </c>
      <c r="H147" s="16">
        <v>0.05</v>
      </c>
      <c r="I147" s="1">
        <v>1.35</v>
      </c>
      <c r="J147">
        <v>1080</v>
      </c>
      <c r="K147" s="14">
        <f t="shared" si="3"/>
        <v>1458</v>
      </c>
      <c r="L147" t="s">
        <v>2</v>
      </c>
    </row>
    <row r="148" spans="1:12" x14ac:dyDescent="0.35">
      <c r="A148" s="13">
        <v>44682</v>
      </c>
      <c r="B148">
        <v>1959</v>
      </c>
      <c r="C148">
        <v>500</v>
      </c>
      <c r="D148" t="s">
        <v>20</v>
      </c>
      <c r="F148" t="s">
        <v>42</v>
      </c>
      <c r="G148" t="s">
        <v>1</v>
      </c>
      <c r="H148" s="16">
        <v>0.05</v>
      </c>
      <c r="I148" s="1">
        <v>1.47</v>
      </c>
      <c r="J148">
        <v>640</v>
      </c>
      <c r="K148" s="14">
        <f t="shared" si="3"/>
        <v>940.8</v>
      </c>
      <c r="L148" t="s">
        <v>2</v>
      </c>
    </row>
    <row r="149" spans="1:12" x14ac:dyDescent="0.35">
      <c r="A149" s="13">
        <v>44682</v>
      </c>
      <c r="B149">
        <v>1759</v>
      </c>
      <c r="C149">
        <v>1000</v>
      </c>
      <c r="D149" t="s">
        <v>20</v>
      </c>
      <c r="G149" t="s">
        <v>1</v>
      </c>
      <c r="H149" s="16">
        <v>0.05</v>
      </c>
      <c r="I149" s="1">
        <v>1.8</v>
      </c>
      <c r="J149">
        <v>7097</v>
      </c>
      <c r="K149" s="14">
        <f t="shared" si="3"/>
        <v>12774.6</v>
      </c>
      <c r="L149" t="s">
        <v>2</v>
      </c>
    </row>
    <row r="150" spans="1:12" x14ac:dyDescent="0.35">
      <c r="A150" s="13">
        <v>44682</v>
      </c>
      <c r="B150">
        <v>1337</v>
      </c>
      <c r="C150">
        <v>500</v>
      </c>
      <c r="D150" t="s">
        <v>20</v>
      </c>
      <c r="E150" t="s">
        <v>41</v>
      </c>
      <c r="G150" t="s">
        <v>1</v>
      </c>
      <c r="H150" s="16">
        <v>0.05</v>
      </c>
      <c r="I150" s="1">
        <v>2.74</v>
      </c>
      <c r="J150">
        <v>612</v>
      </c>
      <c r="K150" s="14">
        <f t="shared" si="3"/>
        <v>1676.88</v>
      </c>
      <c r="L150" t="s">
        <v>2</v>
      </c>
    </row>
    <row r="151" spans="1:12" x14ac:dyDescent="0.35">
      <c r="A151" s="13">
        <v>44682</v>
      </c>
      <c r="B151">
        <v>1239</v>
      </c>
      <c r="C151">
        <v>500</v>
      </c>
      <c r="D151" t="s">
        <v>20</v>
      </c>
      <c r="G151" t="s">
        <v>1</v>
      </c>
      <c r="H151" s="16">
        <v>0.05</v>
      </c>
      <c r="I151" s="1">
        <v>1.23</v>
      </c>
      <c r="J151">
        <v>3978</v>
      </c>
      <c r="K151" s="14">
        <f t="shared" si="3"/>
        <v>4892.9399999999996</v>
      </c>
      <c r="L151" t="s">
        <v>2</v>
      </c>
    </row>
    <row r="152" spans="1:12" x14ac:dyDescent="0.35">
      <c r="A152" s="13">
        <v>44682</v>
      </c>
      <c r="B152">
        <v>1444</v>
      </c>
      <c r="C152">
        <v>500</v>
      </c>
      <c r="D152" t="s">
        <v>21</v>
      </c>
      <c r="G152" t="s">
        <v>1</v>
      </c>
      <c r="H152" s="16">
        <v>0.05</v>
      </c>
      <c r="I152" s="1">
        <v>1.35</v>
      </c>
      <c r="J152">
        <v>1077</v>
      </c>
      <c r="K152" s="14">
        <f t="shared" si="3"/>
        <v>1453.95</v>
      </c>
      <c r="L152" t="s">
        <v>2</v>
      </c>
    </row>
    <row r="153" spans="1:12" x14ac:dyDescent="0.35">
      <c r="A153" s="13">
        <v>44682</v>
      </c>
      <c r="B153">
        <v>1170</v>
      </c>
      <c r="C153">
        <v>1000</v>
      </c>
      <c r="D153" t="s">
        <v>22</v>
      </c>
      <c r="G153" t="s">
        <v>1</v>
      </c>
      <c r="H153" s="16">
        <v>0.05</v>
      </c>
      <c r="I153" s="1">
        <v>1.73</v>
      </c>
      <c r="J153">
        <v>5069</v>
      </c>
      <c r="K153" s="14">
        <f t="shared" si="3"/>
        <v>8769.3700000000008</v>
      </c>
      <c r="L153" t="s">
        <v>2</v>
      </c>
    </row>
    <row r="154" spans="1:12" x14ac:dyDescent="0.35">
      <c r="A154" s="13">
        <v>44682</v>
      </c>
      <c r="B154">
        <v>1116</v>
      </c>
      <c r="C154">
        <v>1000</v>
      </c>
      <c r="D154" t="s">
        <v>23</v>
      </c>
      <c r="G154" t="s">
        <v>1</v>
      </c>
      <c r="H154" s="16">
        <v>0.05</v>
      </c>
      <c r="I154" s="1">
        <v>2.12</v>
      </c>
      <c r="J154">
        <v>1285</v>
      </c>
      <c r="K154" s="14">
        <f t="shared" si="3"/>
        <v>2724.2000000000003</v>
      </c>
      <c r="L154" t="s">
        <v>2</v>
      </c>
    </row>
    <row r="155" spans="1:12" x14ac:dyDescent="0.35">
      <c r="A155" s="13">
        <v>44682</v>
      </c>
      <c r="B155">
        <v>1752</v>
      </c>
      <c r="C155">
        <v>500</v>
      </c>
      <c r="D155" t="s">
        <v>22</v>
      </c>
      <c r="G155" t="s">
        <v>1</v>
      </c>
      <c r="H155" s="16">
        <v>0.05</v>
      </c>
      <c r="I155" s="1">
        <v>0.97</v>
      </c>
      <c r="J155">
        <v>6118</v>
      </c>
      <c r="K155" s="14">
        <f t="shared" si="3"/>
        <v>5934.46</v>
      </c>
      <c r="L155" t="s">
        <v>2</v>
      </c>
    </row>
    <row r="156" spans="1:12" x14ac:dyDescent="0.35">
      <c r="A156" s="13">
        <v>44682</v>
      </c>
      <c r="B156">
        <v>1827</v>
      </c>
      <c r="C156">
        <v>500</v>
      </c>
      <c r="D156" t="s">
        <v>22</v>
      </c>
      <c r="E156" t="s">
        <v>41</v>
      </c>
      <c r="G156" t="s">
        <v>1</v>
      </c>
      <c r="H156" s="16">
        <v>0.05</v>
      </c>
      <c r="I156" s="1">
        <v>2.4900000000000002</v>
      </c>
      <c r="J156">
        <v>1100</v>
      </c>
      <c r="K156" s="14">
        <f t="shared" si="3"/>
        <v>2739.0000000000005</v>
      </c>
      <c r="L156" t="s">
        <v>2</v>
      </c>
    </row>
    <row r="157" spans="1:12" x14ac:dyDescent="0.35">
      <c r="A157" s="13">
        <v>44682</v>
      </c>
      <c r="B157">
        <v>1378</v>
      </c>
      <c r="C157">
        <v>500</v>
      </c>
      <c r="D157" t="s">
        <v>22</v>
      </c>
      <c r="F157" t="s">
        <v>42</v>
      </c>
      <c r="G157" t="s">
        <v>1</v>
      </c>
      <c r="H157" s="16">
        <v>0.05</v>
      </c>
      <c r="I157" s="1">
        <v>1.5</v>
      </c>
      <c r="J157">
        <v>65</v>
      </c>
      <c r="K157" s="14">
        <f t="shared" si="3"/>
        <v>97.5</v>
      </c>
      <c r="L157" t="s">
        <v>2</v>
      </c>
    </row>
    <row r="158" spans="1:12" x14ac:dyDescent="0.35">
      <c r="A158" s="13">
        <v>44682</v>
      </c>
      <c r="B158">
        <v>1315</v>
      </c>
      <c r="C158">
        <v>500</v>
      </c>
      <c r="D158" t="s">
        <v>24</v>
      </c>
      <c r="G158" t="s">
        <v>1</v>
      </c>
      <c r="H158" s="16">
        <v>0.05</v>
      </c>
      <c r="I158" s="1">
        <v>1.39</v>
      </c>
      <c r="J158">
        <v>2060</v>
      </c>
      <c r="K158" s="14">
        <f t="shared" si="3"/>
        <v>2863.3999999999996</v>
      </c>
      <c r="L158" t="s">
        <v>2</v>
      </c>
    </row>
    <row r="159" spans="1:12" x14ac:dyDescent="0.35">
      <c r="A159" s="13">
        <v>44682</v>
      </c>
      <c r="B159">
        <v>1582</v>
      </c>
      <c r="C159">
        <v>500</v>
      </c>
      <c r="D159" t="s">
        <v>23</v>
      </c>
      <c r="G159" t="s">
        <v>1</v>
      </c>
      <c r="H159" s="16">
        <v>0.05</v>
      </c>
      <c r="I159" s="1">
        <v>1.01</v>
      </c>
      <c r="J159">
        <v>2744</v>
      </c>
      <c r="K159" s="14">
        <f t="shared" si="3"/>
        <v>2771.44</v>
      </c>
      <c r="L159" t="s">
        <v>2</v>
      </c>
    </row>
    <row r="160" spans="1:12" x14ac:dyDescent="0.35">
      <c r="A160" s="13">
        <v>44682</v>
      </c>
      <c r="B160">
        <v>1217</v>
      </c>
      <c r="C160">
        <v>500</v>
      </c>
      <c r="D160" t="s">
        <v>25</v>
      </c>
      <c r="G160" t="s">
        <v>1</v>
      </c>
      <c r="H160" s="16">
        <v>0.05</v>
      </c>
      <c r="I160" s="1">
        <v>1.89</v>
      </c>
      <c r="J160">
        <v>2459</v>
      </c>
      <c r="K160" s="14">
        <f t="shared" si="3"/>
        <v>4647.5099999999993</v>
      </c>
      <c r="L160" t="s">
        <v>2</v>
      </c>
    </row>
    <row r="161" spans="1:12" x14ac:dyDescent="0.35">
      <c r="A161" s="13">
        <v>44682</v>
      </c>
      <c r="B161">
        <v>1890</v>
      </c>
      <c r="C161">
        <v>500</v>
      </c>
      <c r="D161" t="s">
        <v>25</v>
      </c>
      <c r="F161" t="s">
        <v>42</v>
      </c>
      <c r="G161" t="s">
        <v>1</v>
      </c>
      <c r="H161" s="16">
        <v>0.05</v>
      </c>
      <c r="I161" s="1">
        <v>1.6</v>
      </c>
      <c r="J161">
        <v>614</v>
      </c>
      <c r="K161" s="14">
        <f t="shared" si="3"/>
        <v>982.40000000000009</v>
      </c>
      <c r="L161" t="s">
        <v>2</v>
      </c>
    </row>
    <row r="162" spans="1:12" x14ac:dyDescent="0.35">
      <c r="A162" s="13">
        <v>44682</v>
      </c>
      <c r="B162">
        <v>1785</v>
      </c>
      <c r="C162">
        <v>500</v>
      </c>
      <c r="D162" t="s">
        <v>26</v>
      </c>
      <c r="F162" t="s">
        <v>42</v>
      </c>
      <c r="G162" t="s">
        <v>1</v>
      </c>
      <c r="H162" s="16">
        <v>0.05</v>
      </c>
      <c r="I162" s="1">
        <v>1.49</v>
      </c>
      <c r="J162">
        <v>12</v>
      </c>
      <c r="K162" s="14">
        <f t="shared" si="3"/>
        <v>17.88</v>
      </c>
      <c r="L162" t="s">
        <v>2</v>
      </c>
    </row>
    <row r="163" spans="1:12" x14ac:dyDescent="0.35">
      <c r="A163" s="13">
        <v>44682</v>
      </c>
      <c r="B163">
        <v>1132</v>
      </c>
      <c r="C163">
        <v>500</v>
      </c>
      <c r="D163" t="s">
        <v>27</v>
      </c>
      <c r="G163" t="s">
        <v>1</v>
      </c>
      <c r="H163" s="16">
        <v>0.05</v>
      </c>
      <c r="I163" s="1">
        <v>1.63</v>
      </c>
      <c r="J163">
        <v>327</v>
      </c>
      <c r="K163" s="14">
        <f t="shared" si="3"/>
        <v>533.01</v>
      </c>
      <c r="L163" t="s">
        <v>2</v>
      </c>
    </row>
    <row r="164" spans="1:12" x14ac:dyDescent="0.35">
      <c r="A164" s="13">
        <v>44682</v>
      </c>
      <c r="B164">
        <v>1119</v>
      </c>
      <c r="C164">
        <v>500</v>
      </c>
      <c r="D164" t="s">
        <v>28</v>
      </c>
      <c r="G164" t="s">
        <v>1</v>
      </c>
      <c r="H164" s="16">
        <v>0.05</v>
      </c>
      <c r="I164" s="1">
        <v>1.51</v>
      </c>
      <c r="J164">
        <v>1417</v>
      </c>
      <c r="K164" s="14">
        <f t="shared" si="3"/>
        <v>2139.67</v>
      </c>
      <c r="L164" t="s">
        <v>2</v>
      </c>
    </row>
    <row r="165" spans="1:12" x14ac:dyDescent="0.35">
      <c r="A165" s="13">
        <v>44682</v>
      </c>
      <c r="B165">
        <v>1168</v>
      </c>
      <c r="C165">
        <v>500</v>
      </c>
      <c r="D165" t="s">
        <v>29</v>
      </c>
      <c r="G165" t="s">
        <v>1</v>
      </c>
      <c r="H165" s="16">
        <v>0.05</v>
      </c>
      <c r="I165" s="1">
        <v>1.44</v>
      </c>
      <c r="J165">
        <v>367</v>
      </c>
      <c r="K165" s="14">
        <f t="shared" si="3"/>
        <v>528.48</v>
      </c>
      <c r="L165" t="s">
        <v>2</v>
      </c>
    </row>
    <row r="166" spans="1:12" x14ac:dyDescent="0.35">
      <c r="A166" s="13">
        <v>44713</v>
      </c>
      <c r="B166">
        <v>1930</v>
      </c>
      <c r="C166">
        <v>250</v>
      </c>
      <c r="D166" t="s">
        <v>0</v>
      </c>
      <c r="G166" t="s">
        <v>1</v>
      </c>
      <c r="H166" s="16">
        <v>0.05</v>
      </c>
      <c r="I166" s="1">
        <v>1.54</v>
      </c>
      <c r="J166">
        <v>293</v>
      </c>
      <c r="K166" s="14">
        <f>J166*I166</f>
        <v>451.22</v>
      </c>
      <c r="L166" t="s">
        <v>2</v>
      </c>
    </row>
    <row r="167" spans="1:12" x14ac:dyDescent="0.35">
      <c r="A167" s="13">
        <v>44713</v>
      </c>
      <c r="B167">
        <v>1895</v>
      </c>
      <c r="C167">
        <v>500</v>
      </c>
      <c r="D167" t="s">
        <v>3</v>
      </c>
      <c r="G167" t="s">
        <v>1</v>
      </c>
      <c r="H167" s="16">
        <v>0.05</v>
      </c>
      <c r="I167" s="1">
        <v>1.17</v>
      </c>
      <c r="J167">
        <v>2134</v>
      </c>
      <c r="K167" s="14">
        <f t="shared" ref="K167:K204" si="4">J167*I167</f>
        <v>2496.7799999999997</v>
      </c>
      <c r="L167" t="s">
        <v>2</v>
      </c>
    </row>
    <row r="168" spans="1:12" x14ac:dyDescent="0.35">
      <c r="A168" s="13">
        <v>44713</v>
      </c>
      <c r="B168">
        <v>1282</v>
      </c>
      <c r="C168">
        <v>500</v>
      </c>
      <c r="D168" t="s">
        <v>4</v>
      </c>
      <c r="G168" t="s">
        <v>1</v>
      </c>
      <c r="H168" s="16">
        <v>0.05</v>
      </c>
      <c r="I168" s="1">
        <v>1.5</v>
      </c>
      <c r="J168">
        <v>1357</v>
      </c>
      <c r="K168" s="14">
        <f t="shared" si="4"/>
        <v>2035.5</v>
      </c>
      <c r="L168" t="s">
        <v>2</v>
      </c>
    </row>
    <row r="169" spans="1:12" x14ac:dyDescent="0.35">
      <c r="A169" s="13">
        <v>44713</v>
      </c>
      <c r="B169">
        <v>1451</v>
      </c>
      <c r="C169">
        <v>500</v>
      </c>
      <c r="D169" t="s">
        <v>5</v>
      </c>
      <c r="G169" t="s">
        <v>1</v>
      </c>
      <c r="H169" s="16">
        <v>0.05</v>
      </c>
      <c r="I169" s="1">
        <v>1.58</v>
      </c>
      <c r="J169">
        <v>401</v>
      </c>
      <c r="K169" s="14">
        <f t="shared" si="4"/>
        <v>633.58000000000004</v>
      </c>
      <c r="L169" t="s">
        <v>2</v>
      </c>
    </row>
    <row r="170" spans="1:12" x14ac:dyDescent="0.35">
      <c r="A170" s="13">
        <v>44713</v>
      </c>
      <c r="B170">
        <v>1884</v>
      </c>
      <c r="C170">
        <v>500</v>
      </c>
      <c r="D170" t="s">
        <v>6</v>
      </c>
      <c r="E170" t="s">
        <v>41</v>
      </c>
      <c r="G170" t="s">
        <v>1</v>
      </c>
      <c r="H170" s="16">
        <v>0.05</v>
      </c>
      <c r="I170" s="1">
        <v>2.67</v>
      </c>
      <c r="J170">
        <v>427</v>
      </c>
      <c r="K170" s="14">
        <f t="shared" si="4"/>
        <v>1140.0899999999999</v>
      </c>
      <c r="L170" t="s">
        <v>2</v>
      </c>
    </row>
    <row r="171" spans="1:12" x14ac:dyDescent="0.35">
      <c r="A171" s="13">
        <v>44713</v>
      </c>
      <c r="B171">
        <v>1214</v>
      </c>
      <c r="C171">
        <v>500</v>
      </c>
      <c r="D171" t="s">
        <v>6</v>
      </c>
      <c r="G171" t="s">
        <v>1</v>
      </c>
      <c r="H171" s="16">
        <v>0.05</v>
      </c>
      <c r="I171" s="1">
        <v>1.1100000000000001</v>
      </c>
      <c r="J171">
        <v>3151</v>
      </c>
      <c r="K171" s="14">
        <f t="shared" si="4"/>
        <v>3497.61</v>
      </c>
      <c r="L171" t="s">
        <v>2</v>
      </c>
    </row>
    <row r="172" spans="1:12" x14ac:dyDescent="0.35">
      <c r="A172" s="13">
        <v>44713</v>
      </c>
      <c r="B172">
        <v>1323</v>
      </c>
      <c r="C172">
        <v>500</v>
      </c>
      <c r="D172" t="s">
        <v>6</v>
      </c>
      <c r="F172" t="s">
        <v>42</v>
      </c>
      <c r="G172" t="s">
        <v>1</v>
      </c>
      <c r="H172" s="16">
        <v>0.05</v>
      </c>
      <c r="I172" s="1">
        <v>1.1100000000000001</v>
      </c>
      <c r="J172">
        <v>8</v>
      </c>
      <c r="K172" s="14">
        <f t="shared" si="4"/>
        <v>8.8800000000000008</v>
      </c>
      <c r="L172" t="s">
        <v>2</v>
      </c>
    </row>
    <row r="173" spans="1:12" x14ac:dyDescent="0.35">
      <c r="A173" s="13">
        <v>44713</v>
      </c>
      <c r="B173">
        <v>1320</v>
      </c>
      <c r="C173">
        <v>1000</v>
      </c>
      <c r="D173" t="s">
        <v>6</v>
      </c>
      <c r="G173" t="s">
        <v>1</v>
      </c>
      <c r="H173" s="16">
        <v>0.05</v>
      </c>
      <c r="I173" s="1">
        <v>1.93</v>
      </c>
      <c r="J173">
        <v>687</v>
      </c>
      <c r="K173" s="14">
        <f t="shared" si="4"/>
        <v>1325.9099999999999</v>
      </c>
      <c r="L173" t="s">
        <v>2</v>
      </c>
    </row>
    <row r="174" spans="1:12" x14ac:dyDescent="0.35">
      <c r="A174" s="13">
        <v>44713</v>
      </c>
      <c r="B174">
        <v>1894</v>
      </c>
      <c r="C174">
        <v>500</v>
      </c>
      <c r="D174" t="s">
        <v>7</v>
      </c>
      <c r="G174" t="s">
        <v>1</v>
      </c>
      <c r="H174" s="16">
        <v>0.05</v>
      </c>
      <c r="I174" s="1">
        <v>1.1299999999999999</v>
      </c>
      <c r="J174">
        <v>2874</v>
      </c>
      <c r="K174" s="14">
        <f t="shared" si="4"/>
        <v>3247.62</v>
      </c>
      <c r="L174" t="s">
        <v>2</v>
      </c>
    </row>
    <row r="175" spans="1:12" x14ac:dyDescent="0.35">
      <c r="A175" s="13">
        <v>44713</v>
      </c>
      <c r="B175">
        <v>1425</v>
      </c>
      <c r="C175">
        <v>500</v>
      </c>
      <c r="D175" t="s">
        <v>7</v>
      </c>
      <c r="F175" t="s">
        <v>42</v>
      </c>
      <c r="G175" t="s">
        <v>1</v>
      </c>
      <c r="H175" s="16">
        <v>0.05</v>
      </c>
      <c r="I175" s="1">
        <v>1.79</v>
      </c>
      <c r="J175">
        <v>4</v>
      </c>
      <c r="K175" s="14">
        <f t="shared" si="4"/>
        <v>7.16</v>
      </c>
      <c r="L175" t="s">
        <v>2</v>
      </c>
    </row>
    <row r="176" spans="1:12" x14ac:dyDescent="0.35">
      <c r="A176" s="13">
        <v>44713</v>
      </c>
      <c r="B176">
        <v>1305</v>
      </c>
      <c r="C176">
        <v>500</v>
      </c>
      <c r="D176" t="s">
        <v>8</v>
      </c>
      <c r="G176" t="s">
        <v>1</v>
      </c>
      <c r="H176" s="16">
        <v>0.05</v>
      </c>
      <c r="I176" s="1">
        <v>1.41</v>
      </c>
      <c r="J176">
        <v>1260</v>
      </c>
      <c r="K176" s="14">
        <f t="shared" si="4"/>
        <v>1776.6</v>
      </c>
      <c r="L176" t="s">
        <v>2</v>
      </c>
    </row>
    <row r="177" spans="1:12" x14ac:dyDescent="0.35">
      <c r="A177" s="13">
        <v>44713</v>
      </c>
      <c r="B177">
        <v>1109</v>
      </c>
      <c r="C177">
        <v>250</v>
      </c>
      <c r="D177" t="s">
        <v>10</v>
      </c>
      <c r="G177" t="s">
        <v>1</v>
      </c>
      <c r="H177" s="16">
        <v>0.05</v>
      </c>
      <c r="I177" s="1">
        <v>1.84</v>
      </c>
      <c r="J177">
        <v>366</v>
      </c>
      <c r="K177" s="14">
        <f t="shared" si="4"/>
        <v>673.44</v>
      </c>
      <c r="L177" t="s">
        <v>2</v>
      </c>
    </row>
    <row r="178" spans="1:12" x14ac:dyDescent="0.35">
      <c r="A178" s="13">
        <v>44713</v>
      </c>
      <c r="B178">
        <v>1489</v>
      </c>
      <c r="C178">
        <v>500</v>
      </c>
      <c r="D178" t="s">
        <v>11</v>
      </c>
      <c r="G178" t="s">
        <v>1</v>
      </c>
      <c r="H178" s="16">
        <v>0.05</v>
      </c>
      <c r="I178" s="1">
        <v>1.03</v>
      </c>
      <c r="J178">
        <v>3208</v>
      </c>
      <c r="K178" s="14">
        <f t="shared" si="4"/>
        <v>3304.2400000000002</v>
      </c>
      <c r="L178" t="s">
        <v>2</v>
      </c>
    </row>
    <row r="179" spans="1:12" x14ac:dyDescent="0.35">
      <c r="A179" s="13">
        <v>44713</v>
      </c>
      <c r="B179">
        <v>1277</v>
      </c>
      <c r="C179">
        <v>500</v>
      </c>
      <c r="D179" t="s">
        <v>13</v>
      </c>
      <c r="G179" t="s">
        <v>1</v>
      </c>
      <c r="H179" s="16">
        <v>0.05</v>
      </c>
      <c r="I179" s="1">
        <v>1.6</v>
      </c>
      <c r="J179">
        <v>348</v>
      </c>
      <c r="K179" s="14">
        <f t="shared" si="4"/>
        <v>556.80000000000007</v>
      </c>
      <c r="L179" t="s">
        <v>2</v>
      </c>
    </row>
    <row r="180" spans="1:12" x14ac:dyDescent="0.35">
      <c r="A180" s="13">
        <v>44713</v>
      </c>
      <c r="B180">
        <v>1122</v>
      </c>
      <c r="C180">
        <v>500</v>
      </c>
      <c r="D180" t="s">
        <v>14</v>
      </c>
      <c r="G180" t="s">
        <v>1</v>
      </c>
      <c r="H180" s="16">
        <v>0.05</v>
      </c>
      <c r="I180" s="1">
        <v>1.99</v>
      </c>
      <c r="J180">
        <v>717</v>
      </c>
      <c r="K180" s="14">
        <f t="shared" si="4"/>
        <v>1426.83</v>
      </c>
      <c r="L180" t="s">
        <v>2</v>
      </c>
    </row>
    <row r="181" spans="1:12" x14ac:dyDescent="0.35">
      <c r="A181" s="13">
        <v>44713</v>
      </c>
      <c r="B181">
        <v>1990</v>
      </c>
      <c r="C181">
        <v>500</v>
      </c>
      <c r="D181" t="s">
        <v>15</v>
      </c>
      <c r="G181" t="s">
        <v>1</v>
      </c>
      <c r="H181" s="16">
        <v>0.05</v>
      </c>
      <c r="I181" s="1">
        <v>1.6</v>
      </c>
      <c r="J181">
        <v>2394</v>
      </c>
      <c r="K181" s="14">
        <f t="shared" si="4"/>
        <v>3830.4</v>
      </c>
      <c r="L181" t="s">
        <v>2</v>
      </c>
    </row>
    <row r="182" spans="1:12" x14ac:dyDescent="0.35">
      <c r="A182" s="13">
        <v>44713</v>
      </c>
      <c r="B182">
        <v>1317</v>
      </c>
      <c r="C182">
        <v>500</v>
      </c>
      <c r="D182" t="s">
        <v>16</v>
      </c>
      <c r="G182" t="s">
        <v>1</v>
      </c>
      <c r="H182" s="16">
        <v>0.05</v>
      </c>
      <c r="I182" s="1">
        <v>1.2</v>
      </c>
      <c r="J182">
        <v>1670</v>
      </c>
      <c r="K182" s="14">
        <f t="shared" si="4"/>
        <v>2004</v>
      </c>
      <c r="L182" t="s">
        <v>2</v>
      </c>
    </row>
    <row r="183" spans="1:12" x14ac:dyDescent="0.35">
      <c r="A183" s="13">
        <v>44713</v>
      </c>
      <c r="B183">
        <v>1874</v>
      </c>
      <c r="C183">
        <v>500</v>
      </c>
      <c r="D183" t="s">
        <v>17</v>
      </c>
      <c r="G183" t="s">
        <v>1</v>
      </c>
      <c r="H183" s="16">
        <v>0.05</v>
      </c>
      <c r="I183" s="1">
        <v>1.35</v>
      </c>
      <c r="J183">
        <v>1734</v>
      </c>
      <c r="K183" s="14">
        <f t="shared" si="4"/>
        <v>2340.9</v>
      </c>
      <c r="L183" t="s">
        <v>2</v>
      </c>
    </row>
    <row r="184" spans="1:12" x14ac:dyDescent="0.35">
      <c r="A184" s="13">
        <v>44713</v>
      </c>
      <c r="B184">
        <v>1738</v>
      </c>
      <c r="C184">
        <v>500</v>
      </c>
      <c r="D184" t="s">
        <v>18</v>
      </c>
      <c r="G184" t="s">
        <v>1</v>
      </c>
      <c r="H184" s="16">
        <v>0.05</v>
      </c>
      <c r="I184" s="1">
        <v>1.37</v>
      </c>
      <c r="J184">
        <v>922</v>
      </c>
      <c r="K184" s="14">
        <f t="shared" si="4"/>
        <v>1263.1400000000001</v>
      </c>
      <c r="L184" t="s">
        <v>2</v>
      </c>
    </row>
    <row r="185" spans="1:12" x14ac:dyDescent="0.35">
      <c r="A185" s="13">
        <v>44713</v>
      </c>
      <c r="B185">
        <v>1321</v>
      </c>
      <c r="C185">
        <v>500</v>
      </c>
      <c r="D185" t="s">
        <v>7</v>
      </c>
      <c r="F185" t="s">
        <v>42</v>
      </c>
      <c r="G185" t="s">
        <v>1</v>
      </c>
      <c r="H185" s="16">
        <v>0.05</v>
      </c>
      <c r="I185" s="1">
        <v>1.63</v>
      </c>
      <c r="J185">
        <v>87</v>
      </c>
      <c r="K185" s="14">
        <f t="shared" si="4"/>
        <v>141.81</v>
      </c>
      <c r="L185" t="s">
        <v>2</v>
      </c>
    </row>
    <row r="186" spans="1:12" x14ac:dyDescent="0.35">
      <c r="A186" s="13">
        <v>44713</v>
      </c>
      <c r="B186">
        <v>1129</v>
      </c>
      <c r="C186">
        <v>500</v>
      </c>
      <c r="D186" t="s">
        <v>19</v>
      </c>
      <c r="G186" t="s">
        <v>1</v>
      </c>
      <c r="H186" s="16">
        <v>0.05</v>
      </c>
      <c r="I186" s="1">
        <v>1.27</v>
      </c>
      <c r="J186">
        <v>1939</v>
      </c>
      <c r="K186" s="14">
        <f t="shared" si="4"/>
        <v>2462.5300000000002</v>
      </c>
      <c r="L186" t="s">
        <v>2</v>
      </c>
    </row>
    <row r="187" spans="1:12" x14ac:dyDescent="0.35">
      <c r="A187" s="13">
        <v>44713</v>
      </c>
      <c r="B187">
        <v>1959</v>
      </c>
      <c r="C187">
        <v>500</v>
      </c>
      <c r="D187" t="s">
        <v>20</v>
      </c>
      <c r="F187" t="s">
        <v>42</v>
      </c>
      <c r="G187" t="s">
        <v>1</v>
      </c>
      <c r="H187" s="16">
        <v>0.05</v>
      </c>
      <c r="I187" s="1">
        <v>1.48</v>
      </c>
      <c r="J187">
        <v>251</v>
      </c>
      <c r="K187" s="14">
        <f t="shared" si="4"/>
        <v>371.48</v>
      </c>
      <c r="L187" t="s">
        <v>2</v>
      </c>
    </row>
    <row r="188" spans="1:12" x14ac:dyDescent="0.35">
      <c r="A188" s="13">
        <v>44713</v>
      </c>
      <c r="B188">
        <v>1759</v>
      </c>
      <c r="C188">
        <v>1000</v>
      </c>
      <c r="D188" t="s">
        <v>20</v>
      </c>
      <c r="G188" t="s">
        <v>1</v>
      </c>
      <c r="H188" s="16">
        <v>0.05</v>
      </c>
      <c r="I188" s="1">
        <v>1.92</v>
      </c>
      <c r="J188">
        <v>1463</v>
      </c>
      <c r="K188" s="14">
        <f t="shared" si="4"/>
        <v>2808.96</v>
      </c>
      <c r="L188" t="s">
        <v>2</v>
      </c>
    </row>
    <row r="189" spans="1:12" x14ac:dyDescent="0.35">
      <c r="A189" s="13">
        <v>44713</v>
      </c>
      <c r="B189">
        <v>1337</v>
      </c>
      <c r="C189">
        <v>500</v>
      </c>
      <c r="D189" t="s">
        <v>20</v>
      </c>
      <c r="E189" t="s">
        <v>41</v>
      </c>
      <c r="G189" t="s">
        <v>1</v>
      </c>
      <c r="H189" s="16">
        <v>0.05</v>
      </c>
      <c r="I189" s="1">
        <v>2.5</v>
      </c>
      <c r="J189">
        <v>1262</v>
      </c>
      <c r="K189" s="14">
        <f t="shared" si="4"/>
        <v>3155</v>
      </c>
      <c r="L189" t="s">
        <v>2</v>
      </c>
    </row>
    <row r="190" spans="1:12" x14ac:dyDescent="0.35">
      <c r="A190" s="13">
        <v>44713</v>
      </c>
      <c r="B190">
        <v>1239</v>
      </c>
      <c r="C190">
        <v>500</v>
      </c>
      <c r="D190" t="s">
        <v>20</v>
      </c>
      <c r="G190" t="s">
        <v>1</v>
      </c>
      <c r="H190" s="16">
        <v>0.05</v>
      </c>
      <c r="I190" s="1">
        <v>1.1399999999999999</v>
      </c>
      <c r="J190">
        <v>1983</v>
      </c>
      <c r="K190" s="14">
        <f t="shared" si="4"/>
        <v>2260.62</v>
      </c>
      <c r="L190" t="s">
        <v>2</v>
      </c>
    </row>
    <row r="191" spans="1:12" x14ac:dyDescent="0.35">
      <c r="A191" s="13">
        <v>44713</v>
      </c>
      <c r="B191">
        <v>1444</v>
      </c>
      <c r="C191">
        <v>500</v>
      </c>
      <c r="D191" t="s">
        <v>21</v>
      </c>
      <c r="G191" t="s">
        <v>1</v>
      </c>
      <c r="H191" s="16">
        <v>0.05</v>
      </c>
      <c r="I191" s="1">
        <v>1.32</v>
      </c>
      <c r="J191">
        <v>1337</v>
      </c>
      <c r="K191" s="14">
        <f t="shared" si="4"/>
        <v>1764.8400000000001</v>
      </c>
      <c r="L191" t="s">
        <v>2</v>
      </c>
    </row>
    <row r="192" spans="1:12" x14ac:dyDescent="0.35">
      <c r="A192" s="13">
        <v>44713</v>
      </c>
      <c r="B192">
        <v>1170</v>
      </c>
      <c r="C192">
        <v>1000</v>
      </c>
      <c r="D192" t="s">
        <v>22</v>
      </c>
      <c r="G192" t="s">
        <v>1</v>
      </c>
      <c r="H192" s="16">
        <v>0.05</v>
      </c>
      <c r="I192" s="1">
        <v>1.64</v>
      </c>
      <c r="J192">
        <v>1771</v>
      </c>
      <c r="K192" s="14">
        <f t="shared" si="4"/>
        <v>2904.4399999999996</v>
      </c>
      <c r="L192" t="s">
        <v>2</v>
      </c>
    </row>
    <row r="193" spans="1:12" x14ac:dyDescent="0.35">
      <c r="A193" s="13">
        <v>44713</v>
      </c>
      <c r="B193">
        <v>1116</v>
      </c>
      <c r="C193">
        <v>1000</v>
      </c>
      <c r="D193" t="s">
        <v>23</v>
      </c>
      <c r="G193" t="s">
        <v>1</v>
      </c>
      <c r="H193" s="16">
        <v>0.05</v>
      </c>
      <c r="I193" s="1">
        <v>1.95</v>
      </c>
      <c r="J193">
        <v>755</v>
      </c>
      <c r="K193" s="14">
        <f t="shared" si="4"/>
        <v>1472.25</v>
      </c>
      <c r="L193" t="s">
        <v>2</v>
      </c>
    </row>
    <row r="194" spans="1:12" x14ac:dyDescent="0.35">
      <c r="A194" s="13">
        <v>44713</v>
      </c>
      <c r="B194">
        <v>1752</v>
      </c>
      <c r="C194">
        <v>500</v>
      </c>
      <c r="D194" t="s">
        <v>22</v>
      </c>
      <c r="G194" t="s">
        <v>1</v>
      </c>
      <c r="H194" s="16">
        <v>0.05</v>
      </c>
      <c r="I194" s="1">
        <v>0.92</v>
      </c>
      <c r="J194">
        <v>3089</v>
      </c>
      <c r="K194" s="14">
        <f t="shared" si="4"/>
        <v>2841.88</v>
      </c>
      <c r="L194" t="s">
        <v>2</v>
      </c>
    </row>
    <row r="195" spans="1:12" x14ac:dyDescent="0.35">
      <c r="A195" s="13">
        <v>44713</v>
      </c>
      <c r="B195">
        <v>1827</v>
      </c>
      <c r="C195">
        <v>500</v>
      </c>
      <c r="D195" t="s">
        <v>22</v>
      </c>
      <c r="E195" t="s">
        <v>41</v>
      </c>
      <c r="G195" t="s">
        <v>1</v>
      </c>
      <c r="H195" s="16">
        <v>0.05</v>
      </c>
      <c r="I195" s="1">
        <v>2.73</v>
      </c>
      <c r="J195">
        <v>1322</v>
      </c>
      <c r="K195" s="14">
        <f t="shared" si="4"/>
        <v>3609.06</v>
      </c>
      <c r="L195" t="s">
        <v>2</v>
      </c>
    </row>
    <row r="196" spans="1:12" x14ac:dyDescent="0.35">
      <c r="A196" s="13">
        <v>44713</v>
      </c>
      <c r="B196">
        <v>1378</v>
      </c>
      <c r="C196">
        <v>500</v>
      </c>
      <c r="D196" t="s">
        <v>22</v>
      </c>
      <c r="F196" t="s">
        <v>42</v>
      </c>
      <c r="G196" t="s">
        <v>1</v>
      </c>
      <c r="H196" s="16">
        <v>0.05</v>
      </c>
      <c r="I196" s="1">
        <v>1.58</v>
      </c>
      <c r="J196">
        <v>22</v>
      </c>
      <c r="K196" s="14">
        <f t="shared" si="4"/>
        <v>34.760000000000005</v>
      </c>
      <c r="L196" t="s">
        <v>2</v>
      </c>
    </row>
    <row r="197" spans="1:12" x14ac:dyDescent="0.35">
      <c r="A197" s="13">
        <v>44713</v>
      </c>
      <c r="B197">
        <v>1315</v>
      </c>
      <c r="C197">
        <v>500</v>
      </c>
      <c r="D197" t="s">
        <v>24</v>
      </c>
      <c r="G197" t="s">
        <v>1</v>
      </c>
      <c r="H197" s="16">
        <v>0.05</v>
      </c>
      <c r="I197" s="1">
        <v>1.39</v>
      </c>
      <c r="J197">
        <v>1117</v>
      </c>
      <c r="K197" s="14">
        <f t="shared" si="4"/>
        <v>1552.6299999999999</v>
      </c>
      <c r="L197" t="s">
        <v>2</v>
      </c>
    </row>
    <row r="198" spans="1:12" x14ac:dyDescent="0.35">
      <c r="A198" s="13">
        <v>44713</v>
      </c>
      <c r="B198">
        <v>1582</v>
      </c>
      <c r="C198">
        <v>500</v>
      </c>
      <c r="D198" t="s">
        <v>23</v>
      </c>
      <c r="G198" t="s">
        <v>1</v>
      </c>
      <c r="H198" s="16">
        <v>0.05</v>
      </c>
      <c r="I198" s="1">
        <v>1.01</v>
      </c>
      <c r="J198">
        <v>3210</v>
      </c>
      <c r="K198" s="14">
        <f t="shared" si="4"/>
        <v>3242.1</v>
      </c>
      <c r="L198" t="s">
        <v>2</v>
      </c>
    </row>
    <row r="199" spans="1:12" x14ac:dyDescent="0.35">
      <c r="A199" s="13">
        <v>44713</v>
      </c>
      <c r="B199">
        <v>1217</v>
      </c>
      <c r="C199">
        <v>500</v>
      </c>
      <c r="D199" t="s">
        <v>25</v>
      </c>
      <c r="G199" t="s">
        <v>1</v>
      </c>
      <c r="H199" s="16">
        <v>0.05</v>
      </c>
      <c r="I199" s="1">
        <v>1.88</v>
      </c>
      <c r="J199">
        <v>1487</v>
      </c>
      <c r="K199" s="14">
        <f t="shared" si="4"/>
        <v>2795.56</v>
      </c>
      <c r="L199" t="s">
        <v>2</v>
      </c>
    </row>
    <row r="200" spans="1:12" x14ac:dyDescent="0.35">
      <c r="A200" s="13">
        <v>44713</v>
      </c>
      <c r="B200">
        <v>1890</v>
      </c>
      <c r="C200">
        <v>500</v>
      </c>
      <c r="D200" t="s">
        <v>25</v>
      </c>
      <c r="F200" t="s">
        <v>42</v>
      </c>
      <c r="G200" t="s">
        <v>1</v>
      </c>
      <c r="H200" s="16">
        <v>0.05</v>
      </c>
      <c r="I200" s="1">
        <v>1.61</v>
      </c>
      <c r="J200">
        <v>561</v>
      </c>
      <c r="K200" s="14">
        <f t="shared" si="4"/>
        <v>903.21</v>
      </c>
      <c r="L200" t="s">
        <v>2</v>
      </c>
    </row>
    <row r="201" spans="1:12" x14ac:dyDescent="0.35">
      <c r="A201" s="13">
        <v>44713</v>
      </c>
      <c r="B201">
        <v>1785</v>
      </c>
      <c r="C201">
        <v>500</v>
      </c>
      <c r="D201" t="s">
        <v>26</v>
      </c>
      <c r="F201" t="s">
        <v>42</v>
      </c>
      <c r="G201" t="s">
        <v>1</v>
      </c>
      <c r="H201" s="16">
        <v>0.05</v>
      </c>
      <c r="I201" s="1">
        <v>1.56</v>
      </c>
      <c r="J201">
        <v>5</v>
      </c>
      <c r="K201" s="14">
        <f t="shared" si="4"/>
        <v>7.8000000000000007</v>
      </c>
      <c r="L201" t="s">
        <v>2</v>
      </c>
    </row>
    <row r="202" spans="1:12" x14ac:dyDescent="0.35">
      <c r="A202" s="13">
        <v>44713</v>
      </c>
      <c r="B202">
        <v>1132</v>
      </c>
      <c r="C202">
        <v>500</v>
      </c>
      <c r="D202" t="s">
        <v>27</v>
      </c>
      <c r="G202" t="s">
        <v>1</v>
      </c>
      <c r="H202" s="16">
        <v>0.05</v>
      </c>
      <c r="I202" s="1">
        <v>1.61</v>
      </c>
      <c r="J202">
        <v>414</v>
      </c>
      <c r="K202" s="14">
        <f t="shared" si="4"/>
        <v>666.54000000000008</v>
      </c>
      <c r="L202" t="s">
        <v>2</v>
      </c>
    </row>
    <row r="203" spans="1:12" x14ac:dyDescent="0.35">
      <c r="A203" s="13">
        <v>44713</v>
      </c>
      <c r="B203">
        <v>1119</v>
      </c>
      <c r="C203">
        <v>500</v>
      </c>
      <c r="D203" t="s">
        <v>28</v>
      </c>
      <c r="G203" t="s">
        <v>1</v>
      </c>
      <c r="H203" s="16">
        <v>0.05</v>
      </c>
      <c r="I203" s="1">
        <v>1.48</v>
      </c>
      <c r="J203">
        <v>1733</v>
      </c>
      <c r="K203" s="14">
        <f t="shared" si="4"/>
        <v>2564.84</v>
      </c>
      <c r="L203" t="s">
        <v>2</v>
      </c>
    </row>
    <row r="204" spans="1:12" x14ac:dyDescent="0.35">
      <c r="A204" s="13">
        <v>44713</v>
      </c>
      <c r="B204">
        <v>1168</v>
      </c>
      <c r="C204">
        <v>500</v>
      </c>
      <c r="D204" t="s">
        <v>29</v>
      </c>
      <c r="G204" t="s">
        <v>1</v>
      </c>
      <c r="H204" s="16">
        <v>0.05</v>
      </c>
      <c r="I204" s="1">
        <v>1.43</v>
      </c>
      <c r="J204">
        <v>1219</v>
      </c>
      <c r="K204" s="14">
        <f t="shared" si="4"/>
        <v>1743.1699999999998</v>
      </c>
      <c r="L204" t="s">
        <v>2</v>
      </c>
    </row>
    <row r="205" spans="1:12" x14ac:dyDescent="0.35">
      <c r="A205" s="13">
        <v>44562</v>
      </c>
      <c r="B205">
        <v>2758</v>
      </c>
      <c r="C205">
        <v>500</v>
      </c>
      <c r="D205" t="s">
        <v>14</v>
      </c>
      <c r="E205" t="s">
        <v>41</v>
      </c>
      <c r="F205" t="s">
        <v>42</v>
      </c>
      <c r="G205" t="s">
        <v>44</v>
      </c>
      <c r="H205" s="16">
        <v>0.05</v>
      </c>
      <c r="I205" s="3">
        <v>2.82</v>
      </c>
      <c r="J205" s="4">
        <v>444</v>
      </c>
      <c r="K205" s="14">
        <v>1252.08</v>
      </c>
      <c r="L205" t="s">
        <v>2</v>
      </c>
    </row>
    <row r="206" spans="1:12" x14ac:dyDescent="0.35">
      <c r="A206" s="13">
        <v>44562</v>
      </c>
      <c r="B206">
        <v>2130</v>
      </c>
      <c r="C206">
        <v>500</v>
      </c>
      <c r="D206" t="s">
        <v>15</v>
      </c>
      <c r="E206" t="s">
        <v>41</v>
      </c>
      <c r="F206" t="s">
        <v>42</v>
      </c>
      <c r="G206" t="s">
        <v>44</v>
      </c>
      <c r="H206" s="16">
        <v>0.05</v>
      </c>
      <c r="I206" s="3">
        <v>2.5499999999999998</v>
      </c>
      <c r="J206" s="4">
        <v>206</v>
      </c>
      <c r="K206" s="14">
        <v>525.29999999999995</v>
      </c>
      <c r="L206" t="s">
        <v>2</v>
      </c>
    </row>
    <row r="207" spans="1:12" x14ac:dyDescent="0.35">
      <c r="A207" s="13">
        <v>44562</v>
      </c>
      <c r="B207">
        <v>2558</v>
      </c>
      <c r="C207">
        <v>500</v>
      </c>
      <c r="D207" t="s">
        <v>22</v>
      </c>
      <c r="E207" t="s">
        <v>41</v>
      </c>
      <c r="F207" t="s">
        <v>42</v>
      </c>
      <c r="G207" t="s">
        <v>44</v>
      </c>
      <c r="H207" s="16">
        <v>0.05</v>
      </c>
      <c r="I207" s="3">
        <v>2.64</v>
      </c>
      <c r="J207" s="4">
        <v>343</v>
      </c>
      <c r="K207" s="14">
        <v>905.5200000000001</v>
      </c>
      <c r="L207" t="s">
        <v>2</v>
      </c>
    </row>
    <row r="208" spans="1:12" x14ac:dyDescent="0.35">
      <c r="A208" s="13">
        <v>44562</v>
      </c>
      <c r="B208">
        <v>2550</v>
      </c>
      <c r="C208">
        <v>500</v>
      </c>
      <c r="D208" t="s">
        <v>9</v>
      </c>
      <c r="E208" t="s">
        <v>41</v>
      </c>
      <c r="F208" t="s">
        <v>42</v>
      </c>
      <c r="G208" t="s">
        <v>44</v>
      </c>
      <c r="H208" s="16">
        <v>0.05</v>
      </c>
      <c r="I208" s="3">
        <v>2.56</v>
      </c>
      <c r="J208" s="4">
        <v>309</v>
      </c>
      <c r="K208" s="14">
        <v>791.04</v>
      </c>
      <c r="L208" t="s">
        <v>2</v>
      </c>
    </row>
    <row r="209" spans="1:12" x14ac:dyDescent="0.35">
      <c r="A209" s="13">
        <v>44562</v>
      </c>
      <c r="B209">
        <v>2453</v>
      </c>
      <c r="C209">
        <v>500</v>
      </c>
      <c r="D209" t="s">
        <v>20</v>
      </c>
      <c r="E209" t="s">
        <v>41</v>
      </c>
      <c r="F209" t="s">
        <v>42</v>
      </c>
      <c r="G209" t="s">
        <v>44</v>
      </c>
      <c r="H209" s="16">
        <v>0.05</v>
      </c>
      <c r="I209" s="3">
        <v>2.87</v>
      </c>
      <c r="J209" s="4">
        <v>241</v>
      </c>
      <c r="K209" s="14">
        <v>691.67000000000007</v>
      </c>
      <c r="L209" t="s">
        <v>2</v>
      </c>
    </row>
    <row r="210" spans="1:12" x14ac:dyDescent="0.35">
      <c r="A210" s="13">
        <v>44562</v>
      </c>
      <c r="B210">
        <v>2651</v>
      </c>
      <c r="C210">
        <v>500</v>
      </c>
      <c r="D210" t="s">
        <v>3</v>
      </c>
      <c r="E210" t="s">
        <v>41</v>
      </c>
      <c r="F210" t="s">
        <v>42</v>
      </c>
      <c r="G210" t="s">
        <v>44</v>
      </c>
      <c r="H210" s="16">
        <v>0.05</v>
      </c>
      <c r="I210" s="3">
        <v>2.89</v>
      </c>
      <c r="J210" s="4">
        <v>350</v>
      </c>
      <c r="K210" s="14">
        <v>1011.5</v>
      </c>
      <c r="L210" t="s">
        <v>2</v>
      </c>
    </row>
    <row r="211" spans="1:12" x14ac:dyDescent="0.35">
      <c r="A211" s="13">
        <v>44562</v>
      </c>
      <c r="B211">
        <v>2487</v>
      </c>
      <c r="C211">
        <v>500</v>
      </c>
      <c r="D211" t="s">
        <v>6</v>
      </c>
      <c r="E211" t="s">
        <v>41</v>
      </c>
      <c r="F211" t="s">
        <v>42</v>
      </c>
      <c r="G211" t="s">
        <v>44</v>
      </c>
      <c r="H211" s="16">
        <v>0.05</v>
      </c>
      <c r="I211" s="3">
        <v>2.79</v>
      </c>
      <c r="J211" s="4">
        <v>446</v>
      </c>
      <c r="K211" s="14">
        <v>1244.3399999999999</v>
      </c>
      <c r="L211" t="s">
        <v>2</v>
      </c>
    </row>
    <row r="212" spans="1:12" x14ac:dyDescent="0.35">
      <c r="A212" s="13">
        <v>44562</v>
      </c>
      <c r="B212">
        <v>2220</v>
      </c>
      <c r="C212">
        <v>500</v>
      </c>
      <c r="D212" t="s">
        <v>7</v>
      </c>
      <c r="E212" t="s">
        <v>41</v>
      </c>
      <c r="F212" t="s">
        <v>42</v>
      </c>
      <c r="G212" t="s">
        <v>44</v>
      </c>
      <c r="H212" s="16">
        <v>0.05</v>
      </c>
      <c r="I212" s="3">
        <v>2.66</v>
      </c>
      <c r="J212" s="4">
        <v>319</v>
      </c>
      <c r="K212" s="14">
        <v>848.54000000000008</v>
      </c>
      <c r="L212" t="s">
        <v>2</v>
      </c>
    </row>
    <row r="213" spans="1:12" x14ac:dyDescent="0.35">
      <c r="A213" s="13">
        <v>44562</v>
      </c>
      <c r="B213">
        <v>2530</v>
      </c>
      <c r="C213">
        <v>500</v>
      </c>
      <c r="D213" t="s">
        <v>4</v>
      </c>
      <c r="E213" t="s">
        <v>41</v>
      </c>
      <c r="F213" t="s">
        <v>42</v>
      </c>
      <c r="G213" t="s">
        <v>44</v>
      </c>
      <c r="H213" s="16">
        <v>0.05</v>
      </c>
      <c r="I213" s="3">
        <v>2.99</v>
      </c>
      <c r="J213" s="4">
        <v>422</v>
      </c>
      <c r="K213" s="14">
        <v>1261.7800000000002</v>
      </c>
      <c r="L213" t="s">
        <v>2</v>
      </c>
    </row>
    <row r="214" spans="1:12" x14ac:dyDescent="0.35">
      <c r="A214" s="13">
        <v>44562</v>
      </c>
      <c r="B214">
        <v>2423</v>
      </c>
      <c r="C214">
        <v>500</v>
      </c>
      <c r="D214" t="s">
        <v>28</v>
      </c>
      <c r="E214" t="s">
        <v>41</v>
      </c>
      <c r="F214" t="s">
        <v>42</v>
      </c>
      <c r="G214" t="s">
        <v>44</v>
      </c>
      <c r="H214" s="16">
        <v>0.05</v>
      </c>
      <c r="I214" s="3">
        <v>2.94</v>
      </c>
      <c r="J214" s="4">
        <v>254</v>
      </c>
      <c r="K214" s="14">
        <v>746.76</v>
      </c>
      <c r="L214" t="s">
        <v>2</v>
      </c>
    </row>
    <row r="215" spans="1:12" x14ac:dyDescent="0.35">
      <c r="A215" s="13">
        <v>44562</v>
      </c>
      <c r="B215">
        <v>2700</v>
      </c>
      <c r="C215">
        <v>500</v>
      </c>
      <c r="D215" t="s">
        <v>11</v>
      </c>
      <c r="E215" t="s">
        <v>41</v>
      </c>
      <c r="F215" t="s">
        <v>42</v>
      </c>
      <c r="G215" t="s">
        <v>44</v>
      </c>
      <c r="H215" s="16">
        <v>0.05</v>
      </c>
      <c r="I215" s="3">
        <v>2.89</v>
      </c>
      <c r="J215" s="4">
        <v>324</v>
      </c>
      <c r="K215" s="14">
        <v>936.36</v>
      </c>
      <c r="L215" t="s">
        <v>2</v>
      </c>
    </row>
    <row r="216" spans="1:12" x14ac:dyDescent="0.35">
      <c r="A216" s="13">
        <v>44562</v>
      </c>
      <c r="B216">
        <v>2877</v>
      </c>
      <c r="C216">
        <v>250</v>
      </c>
      <c r="D216" t="s">
        <v>17</v>
      </c>
      <c r="E216" t="s">
        <v>41</v>
      </c>
      <c r="F216" t="s">
        <v>42</v>
      </c>
      <c r="G216" t="s">
        <v>44</v>
      </c>
      <c r="H216" s="16">
        <v>0.05</v>
      </c>
      <c r="I216" s="3">
        <v>2.3199999999999998</v>
      </c>
      <c r="J216" s="4">
        <v>310</v>
      </c>
      <c r="K216" s="14">
        <v>719.19999999999993</v>
      </c>
      <c r="L216" t="s">
        <v>2</v>
      </c>
    </row>
    <row r="217" spans="1:12" x14ac:dyDescent="0.35">
      <c r="A217" s="13">
        <v>44593</v>
      </c>
      <c r="B217">
        <v>2758</v>
      </c>
      <c r="C217">
        <v>500</v>
      </c>
      <c r="D217" t="s">
        <v>14</v>
      </c>
      <c r="E217" t="s">
        <v>41</v>
      </c>
      <c r="F217" t="s">
        <v>42</v>
      </c>
      <c r="G217" t="s">
        <v>44</v>
      </c>
      <c r="H217" s="16">
        <v>0.05</v>
      </c>
      <c r="I217" s="3">
        <v>2.82</v>
      </c>
      <c r="J217" s="4">
        <v>448</v>
      </c>
      <c r="K217" s="14">
        <v>1263.3599999999999</v>
      </c>
      <c r="L217" t="s">
        <v>2</v>
      </c>
    </row>
    <row r="218" spans="1:12" x14ac:dyDescent="0.35">
      <c r="A218" s="13">
        <v>44593</v>
      </c>
      <c r="B218">
        <v>2130</v>
      </c>
      <c r="C218">
        <v>500</v>
      </c>
      <c r="D218" t="s">
        <v>15</v>
      </c>
      <c r="E218" t="s">
        <v>41</v>
      </c>
      <c r="F218" t="s">
        <v>42</v>
      </c>
      <c r="G218" t="s">
        <v>44</v>
      </c>
      <c r="H218" s="16">
        <v>0.05</v>
      </c>
      <c r="I218" s="3">
        <v>2.5499999999999998</v>
      </c>
      <c r="J218" s="4">
        <v>202</v>
      </c>
      <c r="K218" s="14">
        <v>515.09999999999991</v>
      </c>
      <c r="L218" t="s">
        <v>2</v>
      </c>
    </row>
    <row r="219" spans="1:12" x14ac:dyDescent="0.35">
      <c r="A219" s="13">
        <v>44593</v>
      </c>
      <c r="B219">
        <v>2558</v>
      </c>
      <c r="C219">
        <v>500</v>
      </c>
      <c r="D219" t="s">
        <v>22</v>
      </c>
      <c r="E219" t="s">
        <v>41</v>
      </c>
      <c r="F219" t="s">
        <v>42</v>
      </c>
      <c r="G219" t="s">
        <v>44</v>
      </c>
      <c r="H219" s="16">
        <v>0.05</v>
      </c>
      <c r="I219" s="3">
        <v>2.64</v>
      </c>
      <c r="J219" s="4">
        <v>329</v>
      </c>
      <c r="K219" s="14">
        <v>868.56000000000006</v>
      </c>
      <c r="L219" t="s">
        <v>2</v>
      </c>
    </row>
    <row r="220" spans="1:12" x14ac:dyDescent="0.35">
      <c r="A220" s="13">
        <v>44593</v>
      </c>
      <c r="B220">
        <v>2550</v>
      </c>
      <c r="C220">
        <v>500</v>
      </c>
      <c r="D220" t="s">
        <v>9</v>
      </c>
      <c r="E220" t="s">
        <v>41</v>
      </c>
      <c r="F220" t="s">
        <v>42</v>
      </c>
      <c r="G220" t="s">
        <v>44</v>
      </c>
      <c r="H220" s="16">
        <v>0.05</v>
      </c>
      <c r="I220" s="3">
        <v>2.56</v>
      </c>
      <c r="J220" s="4">
        <v>312</v>
      </c>
      <c r="K220" s="14">
        <v>798.72</v>
      </c>
      <c r="L220" t="s">
        <v>2</v>
      </c>
    </row>
    <row r="221" spans="1:12" x14ac:dyDescent="0.35">
      <c r="A221" s="13">
        <v>44593</v>
      </c>
      <c r="B221">
        <v>2453</v>
      </c>
      <c r="C221">
        <v>500</v>
      </c>
      <c r="D221" t="s">
        <v>20</v>
      </c>
      <c r="E221" t="s">
        <v>41</v>
      </c>
      <c r="F221" t="s">
        <v>42</v>
      </c>
      <c r="G221" t="s">
        <v>44</v>
      </c>
      <c r="H221" s="16">
        <v>0.05</v>
      </c>
      <c r="I221" s="3">
        <v>2.87</v>
      </c>
      <c r="J221" s="4">
        <v>260</v>
      </c>
      <c r="K221" s="14">
        <v>746.2</v>
      </c>
      <c r="L221" t="s">
        <v>2</v>
      </c>
    </row>
    <row r="222" spans="1:12" x14ac:dyDescent="0.35">
      <c r="A222" s="13">
        <v>44593</v>
      </c>
      <c r="B222">
        <v>2651</v>
      </c>
      <c r="C222">
        <v>500</v>
      </c>
      <c r="D222" t="s">
        <v>3</v>
      </c>
      <c r="E222" t="s">
        <v>41</v>
      </c>
      <c r="F222" t="s">
        <v>42</v>
      </c>
      <c r="G222" t="s">
        <v>44</v>
      </c>
      <c r="H222" s="16">
        <v>0.05</v>
      </c>
      <c r="I222" s="3">
        <v>2.89</v>
      </c>
      <c r="J222" s="4">
        <v>368</v>
      </c>
      <c r="K222" s="14">
        <v>1063.52</v>
      </c>
      <c r="L222" t="s">
        <v>2</v>
      </c>
    </row>
    <row r="223" spans="1:12" x14ac:dyDescent="0.35">
      <c r="A223" s="13">
        <v>44593</v>
      </c>
      <c r="B223">
        <v>2487</v>
      </c>
      <c r="C223">
        <v>500</v>
      </c>
      <c r="D223" t="s">
        <v>6</v>
      </c>
      <c r="E223" t="s">
        <v>41</v>
      </c>
      <c r="F223" t="s">
        <v>42</v>
      </c>
      <c r="G223" t="s">
        <v>44</v>
      </c>
      <c r="H223" s="16">
        <v>0.05</v>
      </c>
      <c r="I223" s="3">
        <v>2.79</v>
      </c>
      <c r="J223" s="4">
        <v>459</v>
      </c>
      <c r="K223" s="14">
        <v>1280.6100000000001</v>
      </c>
      <c r="L223" t="s">
        <v>2</v>
      </c>
    </row>
    <row r="224" spans="1:12" x14ac:dyDescent="0.35">
      <c r="A224" s="13">
        <v>44593</v>
      </c>
      <c r="B224">
        <v>2220</v>
      </c>
      <c r="C224">
        <v>500</v>
      </c>
      <c r="D224" t="s">
        <v>7</v>
      </c>
      <c r="E224" t="s">
        <v>41</v>
      </c>
      <c r="F224" t="s">
        <v>42</v>
      </c>
      <c r="G224" t="s">
        <v>44</v>
      </c>
      <c r="H224" s="16">
        <v>0.05</v>
      </c>
      <c r="I224" s="3">
        <v>2.66</v>
      </c>
      <c r="J224" s="4">
        <v>325</v>
      </c>
      <c r="K224" s="14">
        <v>864.5</v>
      </c>
      <c r="L224" t="s">
        <v>2</v>
      </c>
    </row>
    <row r="225" spans="1:12" x14ac:dyDescent="0.35">
      <c r="A225" s="13">
        <v>44593</v>
      </c>
      <c r="B225">
        <v>2530</v>
      </c>
      <c r="C225">
        <v>500</v>
      </c>
      <c r="D225" t="s">
        <v>4</v>
      </c>
      <c r="E225" t="s">
        <v>41</v>
      </c>
      <c r="F225" t="s">
        <v>42</v>
      </c>
      <c r="G225" t="s">
        <v>44</v>
      </c>
      <c r="H225" s="16">
        <v>0.05</v>
      </c>
      <c r="I225" s="3">
        <v>2.99</v>
      </c>
      <c r="J225" s="4">
        <v>443</v>
      </c>
      <c r="K225" s="14">
        <v>1324.5700000000002</v>
      </c>
      <c r="L225" t="s">
        <v>2</v>
      </c>
    </row>
    <row r="226" spans="1:12" x14ac:dyDescent="0.35">
      <c r="A226" s="13">
        <v>44593</v>
      </c>
      <c r="B226">
        <v>2423</v>
      </c>
      <c r="C226">
        <v>500</v>
      </c>
      <c r="D226" t="s">
        <v>28</v>
      </c>
      <c r="E226" t="s">
        <v>41</v>
      </c>
      <c r="F226" t="s">
        <v>42</v>
      </c>
      <c r="G226" t="s">
        <v>44</v>
      </c>
      <c r="H226" s="16">
        <v>0.05</v>
      </c>
      <c r="I226" s="3">
        <v>2.94</v>
      </c>
      <c r="J226" s="4">
        <v>259</v>
      </c>
      <c r="K226" s="14">
        <v>761.46</v>
      </c>
      <c r="L226" t="s">
        <v>2</v>
      </c>
    </row>
    <row r="227" spans="1:12" x14ac:dyDescent="0.35">
      <c r="A227" s="13">
        <v>44593</v>
      </c>
      <c r="B227">
        <v>2700</v>
      </c>
      <c r="C227">
        <v>500</v>
      </c>
      <c r="D227" t="s">
        <v>11</v>
      </c>
      <c r="E227" t="s">
        <v>41</v>
      </c>
      <c r="F227" t="s">
        <v>42</v>
      </c>
      <c r="G227" t="s">
        <v>44</v>
      </c>
      <c r="H227" s="16">
        <v>0.05</v>
      </c>
      <c r="I227" s="3">
        <v>2.89</v>
      </c>
      <c r="J227" s="4">
        <v>330</v>
      </c>
      <c r="K227" s="14">
        <v>953.7</v>
      </c>
      <c r="L227" t="s">
        <v>2</v>
      </c>
    </row>
    <row r="228" spans="1:12" x14ac:dyDescent="0.35">
      <c r="A228" s="13">
        <v>44593</v>
      </c>
      <c r="B228">
        <v>2877</v>
      </c>
      <c r="C228">
        <v>250</v>
      </c>
      <c r="D228" t="s">
        <v>17</v>
      </c>
      <c r="E228" t="s">
        <v>41</v>
      </c>
      <c r="F228" t="s">
        <v>42</v>
      </c>
      <c r="G228" t="s">
        <v>44</v>
      </c>
      <c r="H228" s="16">
        <v>0.05</v>
      </c>
      <c r="I228" s="3">
        <v>2.3199999999999998</v>
      </c>
      <c r="J228" s="4">
        <v>332</v>
      </c>
      <c r="K228" s="14">
        <v>770.2399999999999</v>
      </c>
      <c r="L228" t="s">
        <v>2</v>
      </c>
    </row>
    <row r="229" spans="1:12" x14ac:dyDescent="0.35">
      <c r="A229" s="13">
        <v>44621</v>
      </c>
      <c r="B229">
        <v>2758</v>
      </c>
      <c r="C229">
        <v>500</v>
      </c>
      <c r="D229" t="s">
        <v>14</v>
      </c>
      <c r="E229" t="s">
        <v>41</v>
      </c>
      <c r="F229" t="s">
        <v>42</v>
      </c>
      <c r="G229" t="s">
        <v>44</v>
      </c>
      <c r="H229" s="16">
        <v>0.05</v>
      </c>
      <c r="I229" s="3">
        <v>2.82</v>
      </c>
      <c r="J229" s="4">
        <v>440</v>
      </c>
      <c r="K229" s="14">
        <v>1240.8</v>
      </c>
      <c r="L229" t="s">
        <v>2</v>
      </c>
    </row>
    <row r="230" spans="1:12" x14ac:dyDescent="0.35">
      <c r="A230" s="13">
        <v>44621</v>
      </c>
      <c r="B230">
        <v>2130</v>
      </c>
      <c r="C230">
        <v>500</v>
      </c>
      <c r="D230" t="s">
        <v>15</v>
      </c>
      <c r="E230" t="s">
        <v>41</v>
      </c>
      <c r="F230" t="s">
        <v>42</v>
      </c>
      <c r="G230" t="s">
        <v>44</v>
      </c>
      <c r="H230" s="16">
        <v>0.05</v>
      </c>
      <c r="I230" s="3">
        <v>2.5499999999999998</v>
      </c>
      <c r="J230" s="4">
        <v>204</v>
      </c>
      <c r="K230" s="14">
        <v>520.19999999999993</v>
      </c>
      <c r="L230" t="s">
        <v>2</v>
      </c>
    </row>
    <row r="231" spans="1:12" x14ac:dyDescent="0.35">
      <c r="A231" s="13">
        <v>44621</v>
      </c>
      <c r="B231">
        <v>2558</v>
      </c>
      <c r="C231">
        <v>500</v>
      </c>
      <c r="D231" t="s">
        <v>22</v>
      </c>
      <c r="E231" t="s">
        <v>41</v>
      </c>
      <c r="F231" t="s">
        <v>42</v>
      </c>
      <c r="G231" t="s">
        <v>44</v>
      </c>
      <c r="H231" s="16">
        <v>0.05</v>
      </c>
      <c r="I231" s="3">
        <v>2.64</v>
      </c>
      <c r="J231" s="4">
        <v>364</v>
      </c>
      <c r="K231" s="14">
        <v>960.96</v>
      </c>
      <c r="L231" t="s">
        <v>2</v>
      </c>
    </row>
    <row r="232" spans="1:12" x14ac:dyDescent="0.35">
      <c r="A232" s="13">
        <v>44621</v>
      </c>
      <c r="B232">
        <v>2550</v>
      </c>
      <c r="C232">
        <v>500</v>
      </c>
      <c r="D232" t="s">
        <v>9</v>
      </c>
      <c r="E232" t="s">
        <v>41</v>
      </c>
      <c r="F232" t="s">
        <v>42</v>
      </c>
      <c r="G232" t="s">
        <v>44</v>
      </c>
      <c r="H232" s="16">
        <v>0.05</v>
      </c>
      <c r="I232" s="3">
        <v>2.56</v>
      </c>
      <c r="J232" s="4">
        <v>303</v>
      </c>
      <c r="K232" s="14">
        <v>775.68000000000006</v>
      </c>
      <c r="L232" t="s">
        <v>2</v>
      </c>
    </row>
    <row r="233" spans="1:12" x14ac:dyDescent="0.35">
      <c r="A233" s="13">
        <v>44621</v>
      </c>
      <c r="B233">
        <v>2453</v>
      </c>
      <c r="C233">
        <v>500</v>
      </c>
      <c r="D233" t="s">
        <v>20</v>
      </c>
      <c r="E233" t="s">
        <v>41</v>
      </c>
      <c r="F233" t="s">
        <v>42</v>
      </c>
      <c r="G233" t="s">
        <v>44</v>
      </c>
      <c r="H233" s="16">
        <v>0.05</v>
      </c>
      <c r="I233" s="3">
        <v>2.87</v>
      </c>
      <c r="J233" s="4">
        <v>234</v>
      </c>
      <c r="K233" s="14">
        <v>671.58</v>
      </c>
      <c r="L233" t="s">
        <v>2</v>
      </c>
    </row>
    <row r="234" spans="1:12" x14ac:dyDescent="0.35">
      <c r="A234" s="13">
        <v>44621</v>
      </c>
      <c r="B234">
        <v>2651</v>
      </c>
      <c r="C234">
        <v>500</v>
      </c>
      <c r="D234" t="s">
        <v>3</v>
      </c>
      <c r="E234" t="s">
        <v>41</v>
      </c>
      <c r="F234" t="s">
        <v>42</v>
      </c>
      <c r="G234" t="s">
        <v>44</v>
      </c>
      <c r="H234" s="16">
        <v>0.05</v>
      </c>
      <c r="I234" s="3">
        <v>2.89</v>
      </c>
      <c r="J234" s="4">
        <v>347</v>
      </c>
      <c r="K234" s="14">
        <v>1002.83</v>
      </c>
      <c r="L234" t="s">
        <v>2</v>
      </c>
    </row>
    <row r="235" spans="1:12" x14ac:dyDescent="0.35">
      <c r="A235" s="13">
        <v>44621</v>
      </c>
      <c r="B235">
        <v>2487</v>
      </c>
      <c r="C235">
        <v>500</v>
      </c>
      <c r="D235" t="s">
        <v>6</v>
      </c>
      <c r="E235" t="s">
        <v>41</v>
      </c>
      <c r="F235" t="s">
        <v>42</v>
      </c>
      <c r="G235" t="s">
        <v>44</v>
      </c>
      <c r="H235" s="16">
        <v>0.05</v>
      </c>
      <c r="I235" s="3">
        <v>2.79</v>
      </c>
      <c r="J235" s="4">
        <v>477</v>
      </c>
      <c r="K235" s="14">
        <v>1330.83</v>
      </c>
      <c r="L235" t="s">
        <v>2</v>
      </c>
    </row>
    <row r="236" spans="1:12" x14ac:dyDescent="0.35">
      <c r="A236" s="13">
        <v>44621</v>
      </c>
      <c r="B236">
        <v>2220</v>
      </c>
      <c r="C236">
        <v>500</v>
      </c>
      <c r="D236" t="s">
        <v>7</v>
      </c>
      <c r="E236" t="s">
        <v>41</v>
      </c>
      <c r="F236" t="s">
        <v>42</v>
      </c>
      <c r="G236" t="s">
        <v>44</v>
      </c>
      <c r="H236" s="16">
        <v>0.05</v>
      </c>
      <c r="I236" s="3">
        <v>2.66</v>
      </c>
      <c r="J236" s="4">
        <v>341</v>
      </c>
      <c r="K236" s="14">
        <v>907.06000000000006</v>
      </c>
      <c r="L236" t="s">
        <v>2</v>
      </c>
    </row>
    <row r="237" spans="1:12" x14ac:dyDescent="0.35">
      <c r="A237" s="13">
        <v>44621</v>
      </c>
      <c r="B237">
        <v>2530</v>
      </c>
      <c r="C237">
        <v>500</v>
      </c>
      <c r="D237" t="s">
        <v>4</v>
      </c>
      <c r="E237" t="s">
        <v>41</v>
      </c>
      <c r="F237" t="s">
        <v>42</v>
      </c>
      <c r="G237" t="s">
        <v>44</v>
      </c>
      <c r="H237" s="16">
        <v>0.05</v>
      </c>
      <c r="I237" s="3">
        <v>2.99</v>
      </c>
      <c r="J237" s="4">
        <v>418</v>
      </c>
      <c r="K237" s="14">
        <v>1249.8200000000002</v>
      </c>
      <c r="L237" t="s">
        <v>2</v>
      </c>
    </row>
    <row r="238" spans="1:12" x14ac:dyDescent="0.35">
      <c r="A238" s="13">
        <v>44621</v>
      </c>
      <c r="B238">
        <v>2423</v>
      </c>
      <c r="C238">
        <v>500</v>
      </c>
      <c r="D238" t="s">
        <v>28</v>
      </c>
      <c r="E238" t="s">
        <v>41</v>
      </c>
      <c r="F238" t="s">
        <v>42</v>
      </c>
      <c r="G238" t="s">
        <v>44</v>
      </c>
      <c r="H238" s="16">
        <v>0.05</v>
      </c>
      <c r="I238" s="3">
        <v>2.94</v>
      </c>
      <c r="J238" s="4">
        <v>287</v>
      </c>
      <c r="K238" s="14">
        <v>843.78</v>
      </c>
      <c r="L238" t="s">
        <v>2</v>
      </c>
    </row>
    <row r="239" spans="1:12" x14ac:dyDescent="0.35">
      <c r="A239" s="13">
        <v>44621</v>
      </c>
      <c r="B239">
        <v>2700</v>
      </c>
      <c r="C239">
        <v>500</v>
      </c>
      <c r="D239" t="s">
        <v>11</v>
      </c>
      <c r="E239" t="s">
        <v>41</v>
      </c>
      <c r="F239" t="s">
        <v>42</v>
      </c>
      <c r="G239" t="s">
        <v>44</v>
      </c>
      <c r="H239" s="16">
        <v>0.05</v>
      </c>
      <c r="I239" s="3">
        <v>2.89</v>
      </c>
      <c r="J239" s="4">
        <v>363</v>
      </c>
      <c r="K239" s="14">
        <v>1049.07</v>
      </c>
      <c r="L239" t="s">
        <v>2</v>
      </c>
    </row>
    <row r="240" spans="1:12" x14ac:dyDescent="0.35">
      <c r="A240" s="13">
        <v>44621</v>
      </c>
      <c r="B240">
        <v>2877</v>
      </c>
      <c r="C240">
        <v>250</v>
      </c>
      <c r="D240" t="s">
        <v>17</v>
      </c>
      <c r="E240" t="s">
        <v>41</v>
      </c>
      <c r="F240" t="s">
        <v>42</v>
      </c>
      <c r="G240" t="s">
        <v>44</v>
      </c>
      <c r="H240" s="16">
        <v>0.05</v>
      </c>
      <c r="I240" s="3">
        <v>2.3199999999999998</v>
      </c>
      <c r="J240" s="4">
        <v>338</v>
      </c>
      <c r="K240" s="14">
        <v>784.16</v>
      </c>
      <c r="L240" t="s">
        <v>2</v>
      </c>
    </row>
    <row r="241" spans="1:12" x14ac:dyDescent="0.35">
      <c r="A241" s="13">
        <v>44652</v>
      </c>
      <c r="B241">
        <v>2758</v>
      </c>
      <c r="C241">
        <v>500</v>
      </c>
      <c r="D241" t="s">
        <v>14</v>
      </c>
      <c r="E241" t="s">
        <v>41</v>
      </c>
      <c r="F241" t="s">
        <v>42</v>
      </c>
      <c r="G241" t="s">
        <v>44</v>
      </c>
      <c r="H241" s="16">
        <v>0.05</v>
      </c>
      <c r="I241" s="3">
        <v>2.82</v>
      </c>
      <c r="J241" s="4">
        <v>608</v>
      </c>
      <c r="K241" s="14">
        <v>1714.56</v>
      </c>
      <c r="L241" t="s">
        <v>2</v>
      </c>
    </row>
    <row r="242" spans="1:12" x14ac:dyDescent="0.35">
      <c r="A242" s="13">
        <v>44652</v>
      </c>
      <c r="B242">
        <v>2130</v>
      </c>
      <c r="C242">
        <v>500</v>
      </c>
      <c r="D242" t="s">
        <v>15</v>
      </c>
      <c r="E242" t="s">
        <v>41</v>
      </c>
      <c r="F242" t="s">
        <v>42</v>
      </c>
      <c r="G242" t="s">
        <v>44</v>
      </c>
      <c r="H242" s="16">
        <v>0.05</v>
      </c>
      <c r="I242" s="3">
        <v>2.5499999999999998</v>
      </c>
      <c r="J242" s="4">
        <v>295</v>
      </c>
      <c r="K242" s="14">
        <v>752.25</v>
      </c>
      <c r="L242" t="s">
        <v>2</v>
      </c>
    </row>
    <row r="243" spans="1:12" x14ac:dyDescent="0.35">
      <c r="A243" s="13">
        <v>44652</v>
      </c>
      <c r="B243">
        <v>2558</v>
      </c>
      <c r="C243">
        <v>500</v>
      </c>
      <c r="D243" t="s">
        <v>22</v>
      </c>
      <c r="E243" t="s">
        <v>41</v>
      </c>
      <c r="F243" t="s">
        <v>42</v>
      </c>
      <c r="G243" t="s">
        <v>44</v>
      </c>
      <c r="H243" s="16">
        <v>0.05</v>
      </c>
      <c r="I243" s="3">
        <v>2.64</v>
      </c>
      <c r="J243" s="4">
        <v>490</v>
      </c>
      <c r="K243" s="14">
        <v>1293.6000000000001</v>
      </c>
      <c r="L243" t="s">
        <v>2</v>
      </c>
    </row>
    <row r="244" spans="1:12" x14ac:dyDescent="0.35">
      <c r="A244" s="13">
        <v>44652</v>
      </c>
      <c r="B244">
        <v>2550</v>
      </c>
      <c r="C244">
        <v>500</v>
      </c>
      <c r="D244" t="s">
        <v>9</v>
      </c>
      <c r="E244" t="s">
        <v>41</v>
      </c>
      <c r="F244" t="s">
        <v>42</v>
      </c>
      <c r="G244" t="s">
        <v>44</v>
      </c>
      <c r="H244" s="16">
        <v>0.05</v>
      </c>
      <c r="I244" s="3">
        <v>2.56</v>
      </c>
      <c r="J244" s="4">
        <v>411</v>
      </c>
      <c r="K244" s="14">
        <v>1052.1600000000001</v>
      </c>
      <c r="L244" t="s">
        <v>2</v>
      </c>
    </row>
    <row r="245" spans="1:12" x14ac:dyDescent="0.35">
      <c r="A245" s="13">
        <v>44652</v>
      </c>
      <c r="B245">
        <v>2453</v>
      </c>
      <c r="C245">
        <v>500</v>
      </c>
      <c r="D245" t="s">
        <v>20</v>
      </c>
      <c r="E245" t="s">
        <v>41</v>
      </c>
      <c r="F245" t="s">
        <v>42</v>
      </c>
      <c r="G245" t="s">
        <v>44</v>
      </c>
      <c r="H245" s="16">
        <v>0.05</v>
      </c>
      <c r="I245" s="3">
        <v>2.87</v>
      </c>
      <c r="J245" s="4">
        <v>362</v>
      </c>
      <c r="K245" s="14">
        <v>1038.94</v>
      </c>
      <c r="L245" t="s">
        <v>2</v>
      </c>
    </row>
    <row r="246" spans="1:12" x14ac:dyDescent="0.35">
      <c r="A246" s="13">
        <v>44652</v>
      </c>
      <c r="B246">
        <v>2651</v>
      </c>
      <c r="C246">
        <v>500</v>
      </c>
      <c r="D246" t="s">
        <v>3</v>
      </c>
      <c r="E246" t="s">
        <v>41</v>
      </c>
      <c r="F246" t="s">
        <v>42</v>
      </c>
      <c r="G246" t="s">
        <v>44</v>
      </c>
      <c r="H246" s="16">
        <v>0.05</v>
      </c>
      <c r="I246" s="3">
        <v>2.89</v>
      </c>
      <c r="J246" s="4">
        <v>445</v>
      </c>
      <c r="K246" s="14">
        <v>1286.05</v>
      </c>
      <c r="L246" t="s">
        <v>2</v>
      </c>
    </row>
    <row r="247" spans="1:12" x14ac:dyDescent="0.35">
      <c r="A247" s="13">
        <v>44652</v>
      </c>
      <c r="B247">
        <v>2487</v>
      </c>
      <c r="C247">
        <v>500</v>
      </c>
      <c r="D247" t="s">
        <v>6</v>
      </c>
      <c r="E247" t="s">
        <v>41</v>
      </c>
      <c r="F247" t="s">
        <v>42</v>
      </c>
      <c r="G247" t="s">
        <v>44</v>
      </c>
      <c r="H247" s="16">
        <v>0.05</v>
      </c>
      <c r="I247" s="3">
        <v>2.79</v>
      </c>
      <c r="J247" s="4">
        <v>669</v>
      </c>
      <c r="K247" s="14">
        <v>1866.51</v>
      </c>
      <c r="L247" t="s">
        <v>2</v>
      </c>
    </row>
    <row r="248" spans="1:12" x14ac:dyDescent="0.35">
      <c r="A248" s="13">
        <v>44652</v>
      </c>
      <c r="B248">
        <v>2220</v>
      </c>
      <c r="C248">
        <v>500</v>
      </c>
      <c r="D248" t="s">
        <v>7</v>
      </c>
      <c r="E248" t="s">
        <v>41</v>
      </c>
      <c r="F248" t="s">
        <v>42</v>
      </c>
      <c r="G248" t="s">
        <v>44</v>
      </c>
      <c r="H248" s="16">
        <v>0.05</v>
      </c>
      <c r="I248" s="3">
        <v>2.66</v>
      </c>
      <c r="J248" s="4">
        <v>440</v>
      </c>
      <c r="K248" s="14">
        <v>1170.4000000000001</v>
      </c>
      <c r="L248" t="s">
        <v>2</v>
      </c>
    </row>
    <row r="249" spans="1:12" x14ac:dyDescent="0.35">
      <c r="A249" s="13">
        <v>44652</v>
      </c>
      <c r="B249">
        <v>2530</v>
      </c>
      <c r="C249">
        <v>500</v>
      </c>
      <c r="D249" t="s">
        <v>4</v>
      </c>
      <c r="E249" t="s">
        <v>41</v>
      </c>
      <c r="F249" t="s">
        <v>42</v>
      </c>
      <c r="G249" t="s">
        <v>44</v>
      </c>
      <c r="H249" s="16">
        <v>0.05</v>
      </c>
      <c r="I249" s="3">
        <v>2.99</v>
      </c>
      <c r="J249" s="4">
        <v>620</v>
      </c>
      <c r="K249" s="14">
        <v>1853.8000000000002</v>
      </c>
      <c r="L249" t="s">
        <v>2</v>
      </c>
    </row>
    <row r="250" spans="1:12" x14ac:dyDescent="0.35">
      <c r="A250" s="13">
        <v>44652</v>
      </c>
      <c r="B250">
        <v>2423</v>
      </c>
      <c r="C250">
        <v>500</v>
      </c>
      <c r="D250" t="s">
        <v>28</v>
      </c>
      <c r="E250" t="s">
        <v>41</v>
      </c>
      <c r="F250" t="s">
        <v>42</v>
      </c>
      <c r="G250" t="s">
        <v>44</v>
      </c>
      <c r="H250" s="16">
        <v>0.05</v>
      </c>
      <c r="I250" s="3">
        <v>2.94</v>
      </c>
      <c r="J250" s="4">
        <v>325</v>
      </c>
      <c r="K250" s="14">
        <v>955.5</v>
      </c>
      <c r="L250" t="s">
        <v>2</v>
      </c>
    </row>
    <row r="251" spans="1:12" x14ac:dyDescent="0.35">
      <c r="A251" s="13">
        <v>44652</v>
      </c>
      <c r="B251">
        <v>2700</v>
      </c>
      <c r="C251">
        <v>500</v>
      </c>
      <c r="D251" t="s">
        <v>11</v>
      </c>
      <c r="E251" t="s">
        <v>41</v>
      </c>
      <c r="F251" t="s">
        <v>42</v>
      </c>
      <c r="G251" t="s">
        <v>44</v>
      </c>
      <c r="H251" s="16">
        <v>0.05</v>
      </c>
      <c r="I251" s="3">
        <v>2.89</v>
      </c>
      <c r="J251" s="4">
        <v>483</v>
      </c>
      <c r="K251" s="14">
        <v>1395.8700000000001</v>
      </c>
      <c r="L251" t="s">
        <v>2</v>
      </c>
    </row>
    <row r="252" spans="1:12" x14ac:dyDescent="0.35">
      <c r="A252" s="13">
        <v>44652</v>
      </c>
      <c r="B252">
        <v>2877</v>
      </c>
      <c r="C252">
        <v>250</v>
      </c>
      <c r="D252" t="s">
        <v>17</v>
      </c>
      <c r="E252" t="s">
        <v>41</v>
      </c>
      <c r="F252" t="s">
        <v>42</v>
      </c>
      <c r="G252" t="s">
        <v>44</v>
      </c>
      <c r="H252" s="16">
        <v>0.05</v>
      </c>
      <c r="I252" s="3">
        <v>2.3199999999999998</v>
      </c>
      <c r="J252" s="4">
        <v>397</v>
      </c>
      <c r="K252" s="14">
        <v>921.04</v>
      </c>
      <c r="L252" t="s">
        <v>2</v>
      </c>
    </row>
    <row r="253" spans="1:12" x14ac:dyDescent="0.35">
      <c r="A253" s="13">
        <v>44682</v>
      </c>
      <c r="B253">
        <v>2758</v>
      </c>
      <c r="C253">
        <v>500</v>
      </c>
      <c r="D253" t="s">
        <v>14</v>
      </c>
      <c r="E253" t="s">
        <v>41</v>
      </c>
      <c r="F253" t="s">
        <v>42</v>
      </c>
      <c r="G253" t="s">
        <v>44</v>
      </c>
      <c r="H253" s="16">
        <v>0.05</v>
      </c>
      <c r="I253" s="3">
        <v>2.82</v>
      </c>
      <c r="J253" s="4">
        <v>617</v>
      </c>
      <c r="K253" s="14">
        <v>1739.9399999999998</v>
      </c>
      <c r="L253" t="s">
        <v>2</v>
      </c>
    </row>
    <row r="254" spans="1:12" x14ac:dyDescent="0.35">
      <c r="A254" s="13">
        <v>44682</v>
      </c>
      <c r="B254">
        <v>2130</v>
      </c>
      <c r="C254">
        <v>500</v>
      </c>
      <c r="D254" t="s">
        <v>15</v>
      </c>
      <c r="E254" t="s">
        <v>41</v>
      </c>
      <c r="F254" t="s">
        <v>42</v>
      </c>
      <c r="G254" t="s">
        <v>44</v>
      </c>
      <c r="H254" s="16">
        <v>0.05</v>
      </c>
      <c r="I254" s="3">
        <v>2.5499999999999998</v>
      </c>
      <c r="J254" s="4">
        <v>299</v>
      </c>
      <c r="K254" s="14">
        <v>762.44999999999993</v>
      </c>
      <c r="L254" t="s">
        <v>2</v>
      </c>
    </row>
    <row r="255" spans="1:12" x14ac:dyDescent="0.35">
      <c r="A255" s="13">
        <v>44682</v>
      </c>
      <c r="B255">
        <v>2558</v>
      </c>
      <c r="C255">
        <v>500</v>
      </c>
      <c r="D255" t="s">
        <v>22</v>
      </c>
      <c r="E255" t="s">
        <v>41</v>
      </c>
      <c r="F255" t="s">
        <v>42</v>
      </c>
      <c r="G255" t="s">
        <v>44</v>
      </c>
      <c r="H255" s="16">
        <v>0.05</v>
      </c>
      <c r="I255" s="3">
        <v>2.64</v>
      </c>
      <c r="J255" s="4">
        <v>504</v>
      </c>
      <c r="K255" s="14">
        <v>1330.5600000000002</v>
      </c>
      <c r="L255" t="s">
        <v>2</v>
      </c>
    </row>
    <row r="256" spans="1:12" x14ac:dyDescent="0.35">
      <c r="A256" s="13">
        <v>44682</v>
      </c>
      <c r="B256">
        <v>2550</v>
      </c>
      <c r="C256">
        <v>500</v>
      </c>
      <c r="D256" t="s">
        <v>9</v>
      </c>
      <c r="E256" t="s">
        <v>41</v>
      </c>
      <c r="F256" t="s">
        <v>42</v>
      </c>
      <c r="G256" t="s">
        <v>44</v>
      </c>
      <c r="H256" s="16">
        <v>0.05</v>
      </c>
      <c r="I256" s="3">
        <v>2.56</v>
      </c>
      <c r="J256" s="4">
        <v>451</v>
      </c>
      <c r="K256" s="14">
        <v>1154.56</v>
      </c>
      <c r="L256" t="s">
        <v>2</v>
      </c>
    </row>
    <row r="257" spans="1:12" x14ac:dyDescent="0.35">
      <c r="A257" s="13">
        <v>44682</v>
      </c>
      <c r="B257">
        <v>2453</v>
      </c>
      <c r="C257">
        <v>500</v>
      </c>
      <c r="D257" t="s">
        <v>20</v>
      </c>
      <c r="E257" t="s">
        <v>41</v>
      </c>
      <c r="F257" t="s">
        <v>42</v>
      </c>
      <c r="G257" t="s">
        <v>44</v>
      </c>
      <c r="H257" s="16">
        <v>0.05</v>
      </c>
      <c r="I257" s="3">
        <v>2.87</v>
      </c>
      <c r="J257" s="4">
        <v>352</v>
      </c>
      <c r="K257" s="14">
        <v>1010.24</v>
      </c>
      <c r="L257" t="s">
        <v>2</v>
      </c>
    </row>
    <row r="258" spans="1:12" x14ac:dyDescent="0.35">
      <c r="A258" s="13">
        <v>44682</v>
      </c>
      <c r="B258">
        <v>2651</v>
      </c>
      <c r="C258">
        <v>500</v>
      </c>
      <c r="D258" t="s">
        <v>3</v>
      </c>
      <c r="E258" t="s">
        <v>41</v>
      </c>
      <c r="F258" t="s">
        <v>42</v>
      </c>
      <c r="G258" t="s">
        <v>44</v>
      </c>
      <c r="H258" s="16">
        <v>0.05</v>
      </c>
      <c r="I258" s="3">
        <v>2.89</v>
      </c>
      <c r="J258" s="4">
        <v>483</v>
      </c>
      <c r="K258" s="14">
        <v>1395.8700000000001</v>
      </c>
      <c r="L258" t="s">
        <v>2</v>
      </c>
    </row>
    <row r="259" spans="1:12" x14ac:dyDescent="0.35">
      <c r="A259" s="13">
        <v>44682</v>
      </c>
      <c r="B259">
        <v>2487</v>
      </c>
      <c r="C259">
        <v>500</v>
      </c>
      <c r="D259" t="s">
        <v>6</v>
      </c>
      <c r="E259" t="s">
        <v>41</v>
      </c>
      <c r="F259" t="s">
        <v>42</v>
      </c>
      <c r="G259" t="s">
        <v>44</v>
      </c>
      <c r="H259" s="16">
        <v>0.05</v>
      </c>
      <c r="I259" s="3">
        <v>2.79</v>
      </c>
      <c r="J259" s="4">
        <v>665</v>
      </c>
      <c r="K259" s="14">
        <v>1855.3500000000001</v>
      </c>
      <c r="L259" t="s">
        <v>2</v>
      </c>
    </row>
    <row r="260" spans="1:12" x14ac:dyDescent="0.35">
      <c r="A260" s="13">
        <v>44682</v>
      </c>
      <c r="B260">
        <v>2220</v>
      </c>
      <c r="C260">
        <v>500</v>
      </c>
      <c r="D260" t="s">
        <v>7</v>
      </c>
      <c r="E260" t="s">
        <v>41</v>
      </c>
      <c r="F260" t="s">
        <v>42</v>
      </c>
      <c r="G260" t="s">
        <v>44</v>
      </c>
      <c r="H260" s="16">
        <v>0.05</v>
      </c>
      <c r="I260" s="3">
        <v>2.66</v>
      </c>
      <c r="J260" s="4">
        <v>459</v>
      </c>
      <c r="K260" s="14">
        <v>1220.94</v>
      </c>
      <c r="L260" t="s">
        <v>2</v>
      </c>
    </row>
    <row r="261" spans="1:12" x14ac:dyDescent="0.35">
      <c r="A261" s="13">
        <v>44682</v>
      </c>
      <c r="B261">
        <v>2530</v>
      </c>
      <c r="C261">
        <v>500</v>
      </c>
      <c r="D261" t="s">
        <v>4</v>
      </c>
      <c r="E261" t="s">
        <v>41</v>
      </c>
      <c r="F261" t="s">
        <v>42</v>
      </c>
      <c r="G261" t="s">
        <v>44</v>
      </c>
      <c r="H261" s="16">
        <v>0.05</v>
      </c>
      <c r="I261" s="3">
        <v>2.99</v>
      </c>
      <c r="J261" s="4">
        <v>591</v>
      </c>
      <c r="K261" s="14">
        <v>1767.0900000000001</v>
      </c>
      <c r="L261" t="s">
        <v>2</v>
      </c>
    </row>
    <row r="262" spans="1:12" x14ac:dyDescent="0.35">
      <c r="A262" s="13">
        <v>44682</v>
      </c>
      <c r="B262">
        <v>2423</v>
      </c>
      <c r="C262">
        <v>500</v>
      </c>
      <c r="D262" t="s">
        <v>28</v>
      </c>
      <c r="E262" t="s">
        <v>41</v>
      </c>
      <c r="F262" t="s">
        <v>42</v>
      </c>
      <c r="G262" t="s">
        <v>44</v>
      </c>
      <c r="H262" s="16">
        <v>0.05</v>
      </c>
      <c r="I262" s="3">
        <v>2.94</v>
      </c>
      <c r="J262" s="4">
        <v>353</v>
      </c>
      <c r="K262" s="14">
        <v>1037.82</v>
      </c>
      <c r="L262" t="s">
        <v>2</v>
      </c>
    </row>
    <row r="263" spans="1:12" x14ac:dyDescent="0.35">
      <c r="A263" s="13">
        <v>44682</v>
      </c>
      <c r="B263">
        <v>2700</v>
      </c>
      <c r="C263">
        <v>500</v>
      </c>
      <c r="D263" t="s">
        <v>11</v>
      </c>
      <c r="E263" t="s">
        <v>41</v>
      </c>
      <c r="F263" t="s">
        <v>42</v>
      </c>
      <c r="G263" t="s">
        <v>44</v>
      </c>
      <c r="H263" s="16">
        <v>0.05</v>
      </c>
      <c r="I263" s="3">
        <v>2.89</v>
      </c>
      <c r="J263" s="4">
        <v>450</v>
      </c>
      <c r="K263" s="14">
        <v>1300.5</v>
      </c>
      <c r="L263" t="s">
        <v>2</v>
      </c>
    </row>
    <row r="264" spans="1:12" x14ac:dyDescent="0.35">
      <c r="A264" s="13">
        <v>44682</v>
      </c>
      <c r="B264">
        <v>2877</v>
      </c>
      <c r="C264">
        <v>250</v>
      </c>
      <c r="D264" t="s">
        <v>17</v>
      </c>
      <c r="E264" t="s">
        <v>41</v>
      </c>
      <c r="F264" t="s">
        <v>42</v>
      </c>
      <c r="G264" t="s">
        <v>44</v>
      </c>
      <c r="H264" s="16">
        <v>0.05</v>
      </c>
      <c r="I264" s="3">
        <v>2.3199999999999998</v>
      </c>
      <c r="J264" s="4">
        <v>434</v>
      </c>
      <c r="K264" s="14">
        <v>1006.8799999999999</v>
      </c>
      <c r="L264" t="s">
        <v>2</v>
      </c>
    </row>
    <row r="265" spans="1:12" x14ac:dyDescent="0.35">
      <c r="A265" s="13">
        <v>44713</v>
      </c>
      <c r="B265">
        <v>2758</v>
      </c>
      <c r="C265">
        <v>500</v>
      </c>
      <c r="D265" t="s">
        <v>14</v>
      </c>
      <c r="E265" t="s">
        <v>41</v>
      </c>
      <c r="F265" t="s">
        <v>42</v>
      </c>
      <c r="G265" t="s">
        <v>44</v>
      </c>
      <c r="H265" s="16">
        <v>0.05</v>
      </c>
      <c r="I265" s="3">
        <v>2.82</v>
      </c>
      <c r="J265" s="4">
        <v>715</v>
      </c>
      <c r="K265" s="14">
        <v>2016.3</v>
      </c>
      <c r="L265" t="s">
        <v>2</v>
      </c>
    </row>
    <row r="266" spans="1:12" x14ac:dyDescent="0.35">
      <c r="A266" s="13">
        <v>44713</v>
      </c>
      <c r="B266">
        <v>2130</v>
      </c>
      <c r="C266">
        <v>500</v>
      </c>
      <c r="D266" t="s">
        <v>15</v>
      </c>
      <c r="E266" t="s">
        <v>41</v>
      </c>
      <c r="F266" t="s">
        <v>42</v>
      </c>
      <c r="G266" t="s">
        <v>44</v>
      </c>
      <c r="H266" s="16">
        <v>0.05</v>
      </c>
      <c r="I266" s="3">
        <v>2.5499999999999998</v>
      </c>
      <c r="J266" s="4">
        <v>342</v>
      </c>
      <c r="K266" s="14">
        <v>872.09999999999991</v>
      </c>
      <c r="L266" t="s">
        <v>2</v>
      </c>
    </row>
    <row r="267" spans="1:12" x14ac:dyDescent="0.35">
      <c r="A267" s="13">
        <v>44713</v>
      </c>
      <c r="B267">
        <v>2558</v>
      </c>
      <c r="C267">
        <v>500</v>
      </c>
      <c r="D267" t="s">
        <v>22</v>
      </c>
      <c r="E267" t="s">
        <v>41</v>
      </c>
      <c r="F267" t="s">
        <v>42</v>
      </c>
      <c r="G267" t="s">
        <v>44</v>
      </c>
      <c r="H267" s="16">
        <v>0.05</v>
      </c>
      <c r="I267" s="3">
        <v>2.64</v>
      </c>
      <c r="J267" s="4">
        <v>501</v>
      </c>
      <c r="K267" s="14">
        <v>1322.64</v>
      </c>
      <c r="L267" t="s">
        <v>2</v>
      </c>
    </row>
    <row r="268" spans="1:12" x14ac:dyDescent="0.35">
      <c r="A268" s="13">
        <v>44713</v>
      </c>
      <c r="B268">
        <v>2550</v>
      </c>
      <c r="C268">
        <v>500</v>
      </c>
      <c r="D268" t="s">
        <v>9</v>
      </c>
      <c r="E268" t="s">
        <v>41</v>
      </c>
      <c r="F268" t="s">
        <v>42</v>
      </c>
      <c r="G268" t="s">
        <v>44</v>
      </c>
      <c r="H268" s="16">
        <v>0.05</v>
      </c>
      <c r="I268" s="3">
        <v>2.56</v>
      </c>
      <c r="J268" s="4">
        <v>538</v>
      </c>
      <c r="K268" s="14">
        <v>1377.28</v>
      </c>
      <c r="L268" t="s">
        <v>2</v>
      </c>
    </row>
    <row r="269" spans="1:12" x14ac:dyDescent="0.35">
      <c r="A269" s="13">
        <v>44713</v>
      </c>
      <c r="B269">
        <v>2453</v>
      </c>
      <c r="C269">
        <v>500</v>
      </c>
      <c r="D269" t="s">
        <v>20</v>
      </c>
      <c r="E269" t="s">
        <v>41</v>
      </c>
      <c r="F269" t="s">
        <v>42</v>
      </c>
      <c r="G269" t="s">
        <v>44</v>
      </c>
      <c r="H269" s="16">
        <v>0.05</v>
      </c>
      <c r="I269" s="3">
        <v>2.87</v>
      </c>
      <c r="J269" s="4">
        <v>410</v>
      </c>
      <c r="K269" s="14">
        <v>1176.7</v>
      </c>
      <c r="L269" t="s">
        <v>2</v>
      </c>
    </row>
    <row r="270" spans="1:12" x14ac:dyDescent="0.35">
      <c r="A270" s="13">
        <v>44713</v>
      </c>
      <c r="B270">
        <v>2651</v>
      </c>
      <c r="C270">
        <v>500</v>
      </c>
      <c r="D270" t="s">
        <v>3</v>
      </c>
      <c r="E270" t="s">
        <v>41</v>
      </c>
      <c r="F270" t="s">
        <v>42</v>
      </c>
      <c r="G270" t="s">
        <v>44</v>
      </c>
      <c r="H270" s="16">
        <v>0.05</v>
      </c>
      <c r="I270" s="3">
        <v>2.89</v>
      </c>
      <c r="J270" s="4">
        <v>578</v>
      </c>
      <c r="K270" s="14">
        <v>1670.42</v>
      </c>
      <c r="L270" t="s">
        <v>2</v>
      </c>
    </row>
    <row r="271" spans="1:12" x14ac:dyDescent="0.35">
      <c r="A271" s="13">
        <v>44713</v>
      </c>
      <c r="B271">
        <v>2487</v>
      </c>
      <c r="C271">
        <v>500</v>
      </c>
      <c r="D271" t="s">
        <v>6</v>
      </c>
      <c r="E271" t="s">
        <v>41</v>
      </c>
      <c r="F271" t="s">
        <v>42</v>
      </c>
      <c r="G271" t="s">
        <v>44</v>
      </c>
      <c r="H271" s="16">
        <v>0.05</v>
      </c>
      <c r="I271" s="3">
        <v>2.79</v>
      </c>
      <c r="J271" s="4">
        <v>705</v>
      </c>
      <c r="K271" s="14">
        <v>1966.95</v>
      </c>
      <c r="L271" t="s">
        <v>2</v>
      </c>
    </row>
    <row r="272" spans="1:12" x14ac:dyDescent="0.35">
      <c r="A272" s="13">
        <v>44713</v>
      </c>
      <c r="B272">
        <v>2220</v>
      </c>
      <c r="C272">
        <v>500</v>
      </c>
      <c r="D272" t="s">
        <v>7</v>
      </c>
      <c r="E272" t="s">
        <v>41</v>
      </c>
      <c r="F272" t="s">
        <v>42</v>
      </c>
      <c r="G272" t="s">
        <v>44</v>
      </c>
      <c r="H272" s="16">
        <v>0.05</v>
      </c>
      <c r="I272" s="3">
        <v>2.66</v>
      </c>
      <c r="J272" s="4">
        <v>475</v>
      </c>
      <c r="K272" s="14">
        <v>1263.5</v>
      </c>
      <c r="L272" t="s">
        <v>2</v>
      </c>
    </row>
    <row r="273" spans="1:12" x14ac:dyDescent="0.35">
      <c r="A273" s="13">
        <v>44713</v>
      </c>
      <c r="B273">
        <v>2530</v>
      </c>
      <c r="C273">
        <v>500</v>
      </c>
      <c r="D273" t="s">
        <v>4</v>
      </c>
      <c r="E273" t="s">
        <v>41</v>
      </c>
      <c r="F273" t="s">
        <v>42</v>
      </c>
      <c r="G273" t="s">
        <v>44</v>
      </c>
      <c r="H273" s="16">
        <v>0.05</v>
      </c>
      <c r="I273" s="3">
        <v>2.99</v>
      </c>
      <c r="J273" s="4">
        <v>646</v>
      </c>
      <c r="K273" s="14">
        <v>1931.5400000000002</v>
      </c>
      <c r="L273" t="s">
        <v>2</v>
      </c>
    </row>
    <row r="274" spans="1:12" x14ac:dyDescent="0.35">
      <c r="A274" s="13">
        <v>44713</v>
      </c>
      <c r="B274">
        <v>2423</v>
      </c>
      <c r="C274">
        <v>500</v>
      </c>
      <c r="D274" t="s">
        <v>28</v>
      </c>
      <c r="E274" t="s">
        <v>41</v>
      </c>
      <c r="F274" t="s">
        <v>42</v>
      </c>
      <c r="G274" t="s">
        <v>44</v>
      </c>
      <c r="H274" s="16">
        <v>0.05</v>
      </c>
      <c r="I274" s="3">
        <v>2.94</v>
      </c>
      <c r="J274" s="4">
        <v>376</v>
      </c>
      <c r="K274" s="14">
        <v>1105.44</v>
      </c>
      <c r="L274" t="s">
        <v>2</v>
      </c>
    </row>
    <row r="275" spans="1:12" x14ac:dyDescent="0.35">
      <c r="A275" s="13">
        <v>44713</v>
      </c>
      <c r="B275">
        <v>2700</v>
      </c>
      <c r="C275">
        <v>500</v>
      </c>
      <c r="D275" t="s">
        <v>11</v>
      </c>
      <c r="E275" t="s">
        <v>41</v>
      </c>
      <c r="F275" t="s">
        <v>42</v>
      </c>
      <c r="G275" t="s">
        <v>44</v>
      </c>
      <c r="H275" s="16">
        <v>0.05</v>
      </c>
      <c r="I275" s="3">
        <v>2.89</v>
      </c>
      <c r="J275" s="4">
        <v>561</v>
      </c>
      <c r="K275" s="14">
        <v>1621.29</v>
      </c>
      <c r="L275" t="s">
        <v>2</v>
      </c>
    </row>
    <row r="276" spans="1:12" x14ac:dyDescent="0.35">
      <c r="A276" s="13">
        <v>44713</v>
      </c>
      <c r="B276">
        <v>2877</v>
      </c>
      <c r="C276">
        <v>250</v>
      </c>
      <c r="D276" t="s">
        <v>17</v>
      </c>
      <c r="E276" t="s">
        <v>41</v>
      </c>
      <c r="F276" t="s">
        <v>42</v>
      </c>
      <c r="G276" t="s">
        <v>44</v>
      </c>
      <c r="H276" s="16">
        <v>0.05</v>
      </c>
      <c r="I276" s="3">
        <v>2.3199999999999998</v>
      </c>
      <c r="J276" s="4">
        <v>493</v>
      </c>
      <c r="K276" s="14">
        <v>1143.76</v>
      </c>
      <c r="L276" t="s">
        <v>2</v>
      </c>
    </row>
    <row r="277" spans="1:12" x14ac:dyDescent="0.35">
      <c r="J277" s="1"/>
    </row>
    <row r="278" spans="1:12" x14ac:dyDescent="0.35">
      <c r="J278" s="1"/>
    </row>
    <row r="279" spans="1:12" x14ac:dyDescent="0.35">
      <c r="J279" s="1"/>
    </row>
    <row r="280" spans="1:12" x14ac:dyDescent="0.35">
      <c r="J280" s="1"/>
    </row>
    <row r="281" spans="1:12" x14ac:dyDescent="0.35">
      <c r="J281" s="1"/>
    </row>
    <row r="282" spans="1:12" x14ac:dyDescent="0.35">
      <c r="J282" s="1"/>
    </row>
    <row r="283" spans="1:12" x14ac:dyDescent="0.35">
      <c r="J283" s="1"/>
    </row>
    <row r="284" spans="1:12" x14ac:dyDescent="0.35">
      <c r="J284" s="1"/>
    </row>
    <row r="285" spans="1:12" x14ac:dyDescent="0.35">
      <c r="J285" s="1"/>
    </row>
    <row r="286" spans="1:12" x14ac:dyDescent="0.35">
      <c r="J286" s="1"/>
    </row>
    <row r="287" spans="1:12" x14ac:dyDescent="0.35">
      <c r="J287" s="1"/>
    </row>
    <row r="288" spans="1:12" x14ac:dyDescent="0.35">
      <c r="J288" s="1"/>
    </row>
    <row r="289" spans="10:10" x14ac:dyDescent="0.35">
      <c r="J289" s="1"/>
    </row>
    <row r="290" spans="10:10" x14ac:dyDescent="0.35">
      <c r="J290" s="1"/>
    </row>
    <row r="291" spans="10:10" x14ac:dyDescent="0.35">
      <c r="J291" s="1"/>
    </row>
    <row r="292" spans="10:10" x14ac:dyDescent="0.35">
      <c r="J292" s="1"/>
    </row>
    <row r="293" spans="10:10" x14ac:dyDescent="0.35">
      <c r="J293" s="1"/>
    </row>
    <row r="294" spans="10:10" x14ac:dyDescent="0.35">
      <c r="J294" s="1"/>
    </row>
    <row r="295" spans="10:10" x14ac:dyDescent="0.35">
      <c r="J295" s="1"/>
    </row>
    <row r="296" spans="10:10" x14ac:dyDescent="0.35">
      <c r="J296" s="1"/>
    </row>
    <row r="297" spans="10:10" x14ac:dyDescent="0.35">
      <c r="J297" s="1"/>
    </row>
    <row r="298" spans="10:10" x14ac:dyDescent="0.35">
      <c r="J298" s="1"/>
    </row>
    <row r="299" spans="10:10" x14ac:dyDescent="0.35">
      <c r="J299" s="1"/>
    </row>
    <row r="300" spans="10:10" x14ac:dyDescent="0.35">
      <c r="J300" s="1"/>
    </row>
    <row r="301" spans="10:10" x14ac:dyDescent="0.35">
      <c r="J301" s="1"/>
    </row>
    <row r="302" spans="10:10" x14ac:dyDescent="0.35">
      <c r="J302" s="1"/>
    </row>
    <row r="303" spans="10:10" x14ac:dyDescent="0.35">
      <c r="J303" s="1"/>
    </row>
    <row r="304" spans="10:10" x14ac:dyDescent="0.35">
      <c r="J304" s="1"/>
    </row>
    <row r="305" spans="10:10" x14ac:dyDescent="0.35">
      <c r="J305" s="1"/>
    </row>
    <row r="306" spans="10:10" x14ac:dyDescent="0.35">
      <c r="J306" s="1"/>
    </row>
    <row r="307" spans="10:10" x14ac:dyDescent="0.35">
      <c r="J307" s="1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929D6-FD76-48EF-A1B1-E36207DF6D61}">
  <sheetPr codeName="Feuil3"/>
  <dimension ref="A1:G60"/>
  <sheetViews>
    <sheetView zoomScale="70" zoomScaleNormal="70" workbookViewId="0">
      <selection activeCell="K14" sqref="K13:K14"/>
    </sheetView>
  </sheetViews>
  <sheetFormatPr baseColWidth="10" defaultRowHeight="14.5" x14ac:dyDescent="0.35"/>
  <cols>
    <col min="1" max="1" width="20.1796875" bestFit="1" customWidth="1"/>
    <col min="2" max="2" width="12.36328125" bestFit="1" customWidth="1"/>
    <col min="3" max="3" width="9.81640625" bestFit="1" customWidth="1"/>
    <col min="4" max="5" width="11.7265625" bestFit="1" customWidth="1"/>
    <col min="6" max="6" width="21.90625" bestFit="1" customWidth="1"/>
    <col min="7" max="7" width="12.36328125" bestFit="1" customWidth="1"/>
    <col min="8" max="8" width="26.7265625" bestFit="1" customWidth="1"/>
    <col min="9" max="9" width="17.1796875" bestFit="1" customWidth="1"/>
  </cols>
  <sheetData>
    <row r="1" spans="1:7" ht="15" thickBot="1" x14ac:dyDescent="0.4">
      <c r="A1" s="66" t="s">
        <v>92</v>
      </c>
      <c r="B1" s="67"/>
      <c r="C1" s="67"/>
      <c r="D1" s="67"/>
      <c r="E1" s="67"/>
      <c r="F1" s="67"/>
      <c r="G1" s="68"/>
    </row>
    <row r="2" spans="1:7" ht="15" thickBot="1" x14ac:dyDescent="0.4">
      <c r="A2" s="17"/>
      <c r="G2" s="18"/>
    </row>
    <row r="3" spans="1:7" ht="15" thickBot="1" x14ac:dyDescent="0.4">
      <c r="A3" s="26" t="s">
        <v>82</v>
      </c>
      <c r="B3" s="34" t="s">
        <v>81</v>
      </c>
      <c r="G3" s="18"/>
    </row>
    <row r="4" spans="1:7" x14ac:dyDescent="0.35">
      <c r="A4" s="27" t="s">
        <v>85</v>
      </c>
      <c r="B4" s="31"/>
      <c r="G4" s="18"/>
    </row>
    <row r="5" spans="1:7" x14ac:dyDescent="0.35">
      <c r="A5" s="28" t="s">
        <v>86</v>
      </c>
      <c r="B5" s="32">
        <v>10934.090000000002</v>
      </c>
      <c r="G5" s="18"/>
    </row>
    <row r="6" spans="1:7" x14ac:dyDescent="0.35">
      <c r="A6" s="28" t="s">
        <v>87</v>
      </c>
      <c r="B6" s="32">
        <v>89290.930000000037</v>
      </c>
      <c r="G6" s="18"/>
    </row>
    <row r="7" spans="1:7" x14ac:dyDescent="0.35">
      <c r="A7" s="28" t="s">
        <v>88</v>
      </c>
      <c r="B7" s="32">
        <v>97470.600000000035</v>
      </c>
      <c r="G7" s="18"/>
    </row>
    <row r="8" spans="1:7" x14ac:dyDescent="0.35">
      <c r="A8" s="28" t="s">
        <v>89</v>
      </c>
      <c r="B8" s="32">
        <v>91942.160000000018</v>
      </c>
      <c r="G8" s="18"/>
    </row>
    <row r="9" spans="1:7" x14ac:dyDescent="0.35">
      <c r="A9" s="28" t="s">
        <v>90</v>
      </c>
      <c r="B9" s="32">
        <v>106281.9</v>
      </c>
      <c r="G9" s="18"/>
    </row>
    <row r="10" spans="1:7" ht="15" thickBot="1" x14ac:dyDescent="0.4">
      <c r="A10" s="29" t="s">
        <v>91</v>
      </c>
      <c r="B10" s="32">
        <v>86792.099999999977</v>
      </c>
      <c r="G10" s="18"/>
    </row>
    <row r="11" spans="1:7" ht="15" thickBot="1" x14ac:dyDescent="0.4">
      <c r="A11" s="30" t="s">
        <v>84</v>
      </c>
      <c r="B11" s="33">
        <v>482711.78</v>
      </c>
      <c r="G11" s="18"/>
    </row>
    <row r="12" spans="1:7" ht="15" thickBot="1" x14ac:dyDescent="0.4">
      <c r="A12" s="19"/>
      <c r="B12" s="20"/>
      <c r="C12" s="20"/>
      <c r="D12" s="20"/>
      <c r="E12" s="20"/>
      <c r="F12" s="20"/>
      <c r="G12" s="21"/>
    </row>
    <row r="14" spans="1:7" ht="15" thickBot="1" x14ac:dyDescent="0.4"/>
    <row r="15" spans="1:7" ht="15" thickBot="1" x14ac:dyDescent="0.4">
      <c r="A15" s="66" t="s">
        <v>94</v>
      </c>
      <c r="B15" s="67"/>
      <c r="C15" s="67"/>
      <c r="D15" s="67"/>
      <c r="E15" s="67"/>
      <c r="F15" s="67"/>
      <c r="G15" s="68"/>
    </row>
    <row r="16" spans="1:7" ht="15" thickBot="1" x14ac:dyDescent="0.4">
      <c r="A16" s="25"/>
      <c r="B16" s="23"/>
      <c r="C16" s="23"/>
      <c r="D16" s="23"/>
      <c r="E16" s="23"/>
      <c r="F16" s="23"/>
      <c r="G16" s="24"/>
    </row>
    <row r="17" spans="1:7" ht="15" thickBot="1" x14ac:dyDescent="0.4">
      <c r="A17" s="26" t="s">
        <v>81</v>
      </c>
      <c r="B17" s="22" t="s">
        <v>93</v>
      </c>
      <c r="C17" s="36"/>
      <c r="D17" s="37"/>
      <c r="G17" s="18"/>
    </row>
    <row r="18" spans="1:7" ht="15" thickBot="1" x14ac:dyDescent="0.4">
      <c r="A18" s="26" t="s">
        <v>82</v>
      </c>
      <c r="B18" t="s">
        <v>42</v>
      </c>
      <c r="C18" t="s">
        <v>83</v>
      </c>
      <c r="D18" s="21" t="s">
        <v>84</v>
      </c>
      <c r="G18" s="18"/>
    </row>
    <row r="19" spans="1:7" x14ac:dyDescent="0.35">
      <c r="A19" s="27" t="s">
        <v>85</v>
      </c>
      <c r="B19" s="25"/>
      <c r="C19" s="23"/>
      <c r="D19" s="24"/>
      <c r="G19" s="18"/>
    </row>
    <row r="20" spans="1:7" x14ac:dyDescent="0.35">
      <c r="A20" s="28" t="s">
        <v>86</v>
      </c>
      <c r="B20" s="17">
        <v>10934.090000000002</v>
      </c>
      <c r="D20" s="18">
        <v>10934.090000000002</v>
      </c>
      <c r="G20" s="18"/>
    </row>
    <row r="21" spans="1:7" x14ac:dyDescent="0.35">
      <c r="A21" s="28" t="s">
        <v>87</v>
      </c>
      <c r="B21" s="17">
        <v>18963.340000000004</v>
      </c>
      <c r="C21">
        <v>70327.590000000011</v>
      </c>
      <c r="D21" s="18">
        <v>89290.930000000022</v>
      </c>
      <c r="G21" s="18"/>
    </row>
    <row r="22" spans="1:7" x14ac:dyDescent="0.35">
      <c r="A22" s="28" t="s">
        <v>88</v>
      </c>
      <c r="B22" s="17">
        <v>17507.95</v>
      </c>
      <c r="C22">
        <v>79962.650000000009</v>
      </c>
      <c r="D22" s="18">
        <v>97470.6</v>
      </c>
      <c r="G22" s="18"/>
    </row>
    <row r="23" spans="1:7" x14ac:dyDescent="0.35">
      <c r="A23" s="28" t="s">
        <v>89</v>
      </c>
      <c r="B23" s="17">
        <v>19858.849999999999</v>
      </c>
      <c r="C23">
        <v>72083.31</v>
      </c>
      <c r="D23" s="18">
        <v>91942.16</v>
      </c>
      <c r="G23" s="18"/>
    </row>
    <row r="24" spans="1:7" x14ac:dyDescent="0.35">
      <c r="A24" s="28" t="s">
        <v>90</v>
      </c>
      <c r="B24" s="17">
        <v>18014.050000000003</v>
      </c>
      <c r="C24">
        <v>88267.849999999991</v>
      </c>
      <c r="D24" s="18">
        <v>106281.9</v>
      </c>
      <c r="G24" s="18"/>
    </row>
    <row r="25" spans="1:7" ht="15" thickBot="1" x14ac:dyDescent="0.4">
      <c r="A25" s="29" t="s">
        <v>91</v>
      </c>
      <c r="B25" s="17">
        <v>18943.02</v>
      </c>
      <c r="C25">
        <v>67849.079999999987</v>
      </c>
      <c r="D25" s="18">
        <v>86792.099999999991</v>
      </c>
      <c r="E25" s="20"/>
      <c r="F25" s="20"/>
      <c r="G25" s="21"/>
    </row>
    <row r="26" spans="1:7" ht="15" thickBot="1" x14ac:dyDescent="0.4">
      <c r="A26" s="30" t="s">
        <v>84</v>
      </c>
      <c r="B26" s="19">
        <v>104221.30000000002</v>
      </c>
      <c r="C26" s="20">
        <v>378490.48</v>
      </c>
      <c r="D26" s="21">
        <v>482711.78</v>
      </c>
      <c r="E26" s="20"/>
      <c r="F26" s="20"/>
      <c r="G26" s="21"/>
    </row>
    <row r="28" spans="1:7" ht="15" thickBot="1" x14ac:dyDescent="0.4"/>
    <row r="29" spans="1:7" ht="15" thickBot="1" x14ac:dyDescent="0.4">
      <c r="A29" s="66" t="s">
        <v>95</v>
      </c>
      <c r="B29" s="67"/>
      <c r="C29" s="67"/>
      <c r="D29" s="67"/>
      <c r="E29" s="67"/>
      <c r="F29" s="67"/>
      <c r="G29" s="68"/>
    </row>
    <row r="30" spans="1:7" ht="15" thickBot="1" x14ac:dyDescent="0.4">
      <c r="A30" s="17"/>
      <c r="G30" s="18"/>
    </row>
    <row r="31" spans="1:7" ht="15" thickBot="1" x14ac:dyDescent="0.4">
      <c r="A31" s="35" t="s">
        <v>81</v>
      </c>
      <c r="B31" s="38" t="s">
        <v>93</v>
      </c>
      <c r="C31" s="36"/>
      <c r="D31" s="37"/>
      <c r="G31" s="18"/>
    </row>
    <row r="32" spans="1:7" ht="15" thickBot="1" x14ac:dyDescent="0.4">
      <c r="A32" s="26" t="s">
        <v>82</v>
      </c>
      <c r="B32" s="20" t="s">
        <v>41</v>
      </c>
      <c r="C32" s="20" t="s">
        <v>83</v>
      </c>
      <c r="D32" s="21" t="s">
        <v>84</v>
      </c>
      <c r="G32" s="18"/>
    </row>
    <row r="33" spans="1:7" x14ac:dyDescent="0.35">
      <c r="A33" s="27" t="s">
        <v>85</v>
      </c>
      <c r="B33" s="25"/>
      <c r="C33" s="23"/>
      <c r="D33" s="24"/>
      <c r="G33" s="18"/>
    </row>
    <row r="34" spans="1:7" x14ac:dyDescent="0.35">
      <c r="A34" s="28" t="s">
        <v>86</v>
      </c>
      <c r="B34" s="17">
        <v>10934.090000000002</v>
      </c>
      <c r="D34" s="18">
        <v>10934.090000000002</v>
      </c>
      <c r="G34" s="18"/>
    </row>
    <row r="35" spans="1:7" x14ac:dyDescent="0.35">
      <c r="A35" s="28" t="s">
        <v>87</v>
      </c>
      <c r="B35" s="17">
        <v>17051.640000000003</v>
      </c>
      <c r="C35">
        <v>72239.290000000008</v>
      </c>
      <c r="D35" s="18">
        <v>89290.930000000008</v>
      </c>
      <c r="G35" s="18"/>
    </row>
    <row r="36" spans="1:7" x14ac:dyDescent="0.35">
      <c r="A36" s="28" t="s">
        <v>88</v>
      </c>
      <c r="B36" s="17">
        <v>16436.829999999998</v>
      </c>
      <c r="C36">
        <v>81033.77</v>
      </c>
      <c r="D36" s="18">
        <v>97470.6</v>
      </c>
      <c r="G36" s="18"/>
    </row>
    <row r="37" spans="1:7" x14ac:dyDescent="0.35">
      <c r="A37" s="28" t="s">
        <v>89</v>
      </c>
      <c r="B37" s="17">
        <v>24349.01</v>
      </c>
      <c r="C37">
        <v>67593.150000000009</v>
      </c>
      <c r="D37" s="18">
        <v>91942.16</v>
      </c>
      <c r="G37" s="18"/>
    </row>
    <row r="38" spans="1:7" x14ac:dyDescent="0.35">
      <c r="A38" s="28" t="s">
        <v>90</v>
      </c>
      <c r="B38" s="17">
        <v>20914.16</v>
      </c>
      <c r="C38">
        <v>85367.739999999976</v>
      </c>
      <c r="D38" s="18">
        <v>106281.89999999998</v>
      </c>
      <c r="G38" s="18"/>
    </row>
    <row r="39" spans="1:7" ht="15" thickBot="1" x14ac:dyDescent="0.4">
      <c r="A39" s="29" t="s">
        <v>91</v>
      </c>
      <c r="B39" s="17">
        <v>25372.07</v>
      </c>
      <c r="C39">
        <v>61420.03</v>
      </c>
      <c r="D39" s="18">
        <v>86792.1</v>
      </c>
      <c r="G39" s="18"/>
    </row>
    <row r="40" spans="1:7" ht="15" thickBot="1" x14ac:dyDescent="0.4">
      <c r="A40" s="30" t="s">
        <v>84</v>
      </c>
      <c r="B40" s="19">
        <v>115057.79999999999</v>
      </c>
      <c r="C40" s="20">
        <v>367653.98</v>
      </c>
      <c r="D40" s="21">
        <v>482711.78</v>
      </c>
      <c r="E40" s="20"/>
      <c r="F40" s="20"/>
      <c r="G40" s="21"/>
    </row>
    <row r="42" spans="1:7" ht="15" thickBot="1" x14ac:dyDescent="0.4"/>
    <row r="43" spans="1:7" ht="15" thickBot="1" x14ac:dyDescent="0.4">
      <c r="A43" s="66" t="s">
        <v>96</v>
      </c>
      <c r="B43" s="67"/>
      <c r="C43" s="67"/>
      <c r="D43" s="67"/>
      <c r="E43" s="67"/>
      <c r="F43" s="67"/>
      <c r="G43" s="68"/>
    </row>
    <row r="44" spans="1:7" ht="15" thickBot="1" x14ac:dyDescent="0.4">
      <c r="A44" s="25"/>
      <c r="B44" s="23"/>
      <c r="C44" s="23"/>
      <c r="D44" s="23"/>
      <c r="E44" s="23"/>
      <c r="F44" s="23"/>
      <c r="G44" s="24"/>
    </row>
    <row r="45" spans="1:7" ht="15" thickBot="1" x14ac:dyDescent="0.4">
      <c r="A45" s="26" t="s">
        <v>81</v>
      </c>
      <c r="B45" s="26" t="s">
        <v>93</v>
      </c>
      <c r="C45" s="40"/>
      <c r="D45" s="37"/>
      <c r="G45" s="18"/>
    </row>
    <row r="46" spans="1:7" ht="15" thickBot="1" x14ac:dyDescent="0.4">
      <c r="A46" s="41" t="s">
        <v>82</v>
      </c>
      <c r="B46" s="19" t="s">
        <v>1</v>
      </c>
      <c r="C46" s="21" t="s">
        <v>44</v>
      </c>
      <c r="D46" s="33" t="s">
        <v>84</v>
      </c>
      <c r="G46" s="18"/>
    </row>
    <row r="47" spans="1:7" x14ac:dyDescent="0.35">
      <c r="A47" s="39">
        <v>44593</v>
      </c>
      <c r="B47" s="25">
        <v>78080.390000000014</v>
      </c>
      <c r="C47" s="23">
        <v>11210.539999999999</v>
      </c>
      <c r="D47" s="24">
        <v>89290.930000000008</v>
      </c>
      <c r="G47" s="18"/>
    </row>
    <row r="48" spans="1:7" x14ac:dyDescent="0.35">
      <c r="A48" s="39">
        <v>44621</v>
      </c>
      <c r="B48" s="17">
        <v>86133.830000000016</v>
      </c>
      <c r="C48">
        <v>11336.77</v>
      </c>
      <c r="D48" s="18">
        <v>97470.60000000002</v>
      </c>
      <c r="G48" s="18"/>
    </row>
    <row r="49" spans="1:7" x14ac:dyDescent="0.35">
      <c r="A49" s="39">
        <v>44652</v>
      </c>
      <c r="B49" s="17">
        <v>76641.480000000025</v>
      </c>
      <c r="C49">
        <v>15300.68</v>
      </c>
      <c r="D49" s="18">
        <v>91942.160000000033</v>
      </c>
      <c r="G49" s="18"/>
    </row>
    <row r="50" spans="1:7" x14ac:dyDescent="0.35">
      <c r="A50" s="39">
        <v>44682</v>
      </c>
      <c r="B50" s="17">
        <v>90699.699999999983</v>
      </c>
      <c r="C50">
        <v>15582.199999999999</v>
      </c>
      <c r="D50" s="18">
        <v>106281.89999999998</v>
      </c>
      <c r="G50" s="18"/>
    </row>
    <row r="51" spans="1:7" ht="15" thickBot="1" x14ac:dyDescent="0.4">
      <c r="A51" s="42">
        <v>44713</v>
      </c>
      <c r="B51" s="17">
        <v>69324.179999999993</v>
      </c>
      <c r="C51">
        <v>17467.920000000002</v>
      </c>
      <c r="D51" s="18">
        <v>86792.099999999991</v>
      </c>
      <c r="G51" s="18"/>
    </row>
    <row r="52" spans="1:7" ht="15" thickBot="1" x14ac:dyDescent="0.4">
      <c r="A52" s="30" t="s">
        <v>84</v>
      </c>
      <c r="B52" s="19">
        <v>400879.58</v>
      </c>
      <c r="C52" s="20">
        <v>70898.11</v>
      </c>
      <c r="D52" s="21">
        <v>471777.69</v>
      </c>
      <c r="G52" s="18"/>
    </row>
    <row r="53" spans="1:7" ht="15" thickBot="1" x14ac:dyDescent="0.4">
      <c r="A53" s="19"/>
      <c r="B53" s="20"/>
      <c r="C53" s="20"/>
      <c r="D53" s="20"/>
      <c r="E53" s="20"/>
      <c r="F53" s="20"/>
      <c r="G53" s="21"/>
    </row>
    <row r="57" spans="1:7" ht="15" thickBot="1" x14ac:dyDescent="0.4"/>
    <row r="58" spans="1:7" ht="15" thickBot="1" x14ac:dyDescent="0.4"/>
    <row r="59" spans="1:7" ht="15" thickBot="1" x14ac:dyDescent="0.4"/>
    <row r="60" spans="1:7" ht="15" thickBot="1" x14ac:dyDescent="0.4"/>
  </sheetData>
  <mergeCells count="4">
    <mergeCell ref="A1:G1"/>
    <mergeCell ref="A15:G15"/>
    <mergeCell ref="A29:G29"/>
    <mergeCell ref="A43:G43"/>
  </mergeCells>
  <pageMargins left="0.7" right="0.7" top="0.75" bottom="0.75" header="0.3" footer="0.3"/>
  <pageSetup paperSize="9" orientation="portrait" r:id="rId5"/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192EA-16D3-43FD-B104-6964A853DBCE}">
  <sheetPr codeName="Feuil7"/>
  <dimension ref="A2:O58"/>
  <sheetViews>
    <sheetView topLeftCell="C1" workbookViewId="0">
      <selection activeCell="N5" sqref="N5"/>
    </sheetView>
  </sheetViews>
  <sheetFormatPr baseColWidth="10" defaultRowHeight="14.5" x14ac:dyDescent="0.35"/>
  <cols>
    <col min="1" max="1" width="19.54296875" bestFit="1" customWidth="1"/>
    <col min="2" max="2" width="22.81640625" bestFit="1" customWidth="1"/>
    <col min="3" max="3" width="23" bestFit="1" customWidth="1"/>
    <col min="6" max="6" width="23.453125" customWidth="1"/>
    <col min="14" max="14" width="12.453125" customWidth="1"/>
  </cols>
  <sheetData>
    <row r="2" spans="1:15" x14ac:dyDescent="0.35">
      <c r="A2" s="44" t="s">
        <v>79</v>
      </c>
      <c r="B2" t="s">
        <v>103</v>
      </c>
    </row>
    <row r="3" spans="1:15" x14ac:dyDescent="0.35">
      <c r="A3" s="44" t="s">
        <v>49</v>
      </c>
      <c r="B3" s="46">
        <v>44713</v>
      </c>
    </row>
    <row r="4" spans="1:15" x14ac:dyDescent="0.35">
      <c r="A4" s="44" t="s">
        <v>42</v>
      </c>
      <c r="B4" t="s">
        <v>103</v>
      </c>
    </row>
    <row r="6" spans="1:15" x14ac:dyDescent="0.35">
      <c r="A6" s="44" t="s">
        <v>82</v>
      </c>
      <c r="B6" t="s">
        <v>105</v>
      </c>
      <c r="C6" t="s">
        <v>106</v>
      </c>
      <c r="E6" s="43" t="s">
        <v>105</v>
      </c>
      <c r="F6" s="43" t="s">
        <v>106</v>
      </c>
    </row>
    <row r="7" spans="1:15" x14ac:dyDescent="0.35">
      <c r="A7" s="45">
        <v>1109</v>
      </c>
      <c r="B7">
        <v>1.84</v>
      </c>
      <c r="C7">
        <v>366</v>
      </c>
      <c r="E7">
        <v>1.84</v>
      </c>
      <c r="F7">
        <v>366</v>
      </c>
    </row>
    <row r="8" spans="1:15" x14ac:dyDescent="0.35">
      <c r="A8" s="45">
        <v>1116</v>
      </c>
      <c r="B8">
        <v>1.95</v>
      </c>
      <c r="C8">
        <v>755</v>
      </c>
      <c r="E8">
        <v>1.95</v>
      </c>
      <c r="F8">
        <v>755</v>
      </c>
    </row>
    <row r="9" spans="1:15" x14ac:dyDescent="0.35">
      <c r="A9" s="45">
        <v>1119</v>
      </c>
      <c r="B9">
        <v>1.48</v>
      </c>
      <c r="C9">
        <v>1733</v>
      </c>
      <c r="E9">
        <v>1.48</v>
      </c>
      <c r="F9">
        <v>1733</v>
      </c>
    </row>
    <row r="10" spans="1:15" x14ac:dyDescent="0.35">
      <c r="A10" s="45">
        <v>1122</v>
      </c>
      <c r="B10">
        <v>1.99</v>
      </c>
      <c r="C10">
        <v>717</v>
      </c>
      <c r="E10">
        <v>1.99</v>
      </c>
      <c r="F10">
        <v>717</v>
      </c>
    </row>
    <row r="11" spans="1:15" x14ac:dyDescent="0.35">
      <c r="A11" s="45">
        <v>1129</v>
      </c>
      <c r="B11">
        <v>1.27</v>
      </c>
      <c r="C11">
        <v>1939</v>
      </c>
      <c r="E11">
        <v>1.27</v>
      </c>
      <c r="F11">
        <v>1939</v>
      </c>
      <c r="N11" s="47" t="s">
        <v>107</v>
      </c>
      <c r="O11" s="47">
        <f>PEARSON(B7:B57,C7:C57)</f>
        <v>-0.52685133705744014</v>
      </c>
    </row>
    <row r="12" spans="1:15" x14ac:dyDescent="0.35">
      <c r="A12" s="45">
        <v>1132</v>
      </c>
      <c r="B12">
        <v>1.61</v>
      </c>
      <c r="C12">
        <v>414</v>
      </c>
      <c r="E12">
        <v>1.61</v>
      </c>
      <c r="F12">
        <v>414</v>
      </c>
    </row>
    <row r="13" spans="1:15" x14ac:dyDescent="0.35">
      <c r="A13" s="45">
        <v>1168</v>
      </c>
      <c r="B13">
        <v>1.43</v>
      </c>
      <c r="C13">
        <v>1219</v>
      </c>
      <c r="E13">
        <v>1.43</v>
      </c>
      <c r="F13">
        <v>1219</v>
      </c>
    </row>
    <row r="14" spans="1:15" x14ac:dyDescent="0.35">
      <c r="A14" s="45">
        <v>1170</v>
      </c>
      <c r="B14">
        <v>1.64</v>
      </c>
      <c r="C14">
        <v>1771</v>
      </c>
      <c r="E14">
        <v>1.64</v>
      </c>
      <c r="F14">
        <v>1771</v>
      </c>
    </row>
    <row r="15" spans="1:15" x14ac:dyDescent="0.35">
      <c r="A15" s="45">
        <v>1214</v>
      </c>
      <c r="B15">
        <v>1.1100000000000001</v>
      </c>
      <c r="C15">
        <v>3151</v>
      </c>
      <c r="E15">
        <v>1.1100000000000001</v>
      </c>
      <c r="F15">
        <v>3151</v>
      </c>
    </row>
    <row r="16" spans="1:15" x14ac:dyDescent="0.35">
      <c r="A16" s="45">
        <v>1217</v>
      </c>
      <c r="B16">
        <v>1.88</v>
      </c>
      <c r="C16">
        <v>1487</v>
      </c>
      <c r="E16">
        <v>1.88</v>
      </c>
      <c r="F16">
        <v>1487</v>
      </c>
    </row>
    <row r="17" spans="1:6" x14ac:dyDescent="0.35">
      <c r="A17" s="45">
        <v>1239</v>
      </c>
      <c r="B17">
        <v>1.1399999999999999</v>
      </c>
      <c r="C17">
        <v>1983</v>
      </c>
      <c r="E17">
        <v>1.1399999999999999</v>
      </c>
      <c r="F17">
        <v>1983</v>
      </c>
    </row>
    <row r="18" spans="1:6" x14ac:dyDescent="0.35">
      <c r="A18" s="45">
        <v>1277</v>
      </c>
      <c r="B18">
        <v>1.6</v>
      </c>
      <c r="C18">
        <v>348</v>
      </c>
      <c r="E18">
        <v>1.6</v>
      </c>
      <c r="F18">
        <v>348</v>
      </c>
    </row>
    <row r="19" spans="1:6" x14ac:dyDescent="0.35">
      <c r="A19" s="45">
        <v>1282</v>
      </c>
      <c r="B19">
        <v>1.5</v>
      </c>
      <c r="C19">
        <v>1357</v>
      </c>
      <c r="E19">
        <v>1.5</v>
      </c>
      <c r="F19">
        <v>1357</v>
      </c>
    </row>
    <row r="20" spans="1:6" x14ac:dyDescent="0.35">
      <c r="A20" s="45">
        <v>1305</v>
      </c>
      <c r="B20">
        <v>1.41</v>
      </c>
      <c r="C20">
        <v>1260</v>
      </c>
      <c r="E20">
        <v>1.41</v>
      </c>
      <c r="F20">
        <v>1260</v>
      </c>
    </row>
    <row r="21" spans="1:6" x14ac:dyDescent="0.35">
      <c r="A21" s="45">
        <v>1315</v>
      </c>
      <c r="B21">
        <v>1.39</v>
      </c>
      <c r="C21">
        <v>1117</v>
      </c>
      <c r="E21">
        <v>1.39</v>
      </c>
      <c r="F21">
        <v>1117</v>
      </c>
    </row>
    <row r="22" spans="1:6" x14ac:dyDescent="0.35">
      <c r="A22" s="45">
        <v>1317</v>
      </c>
      <c r="B22">
        <v>1.2</v>
      </c>
      <c r="C22">
        <v>1670</v>
      </c>
      <c r="E22">
        <v>1.2</v>
      </c>
      <c r="F22">
        <v>1670</v>
      </c>
    </row>
    <row r="23" spans="1:6" x14ac:dyDescent="0.35">
      <c r="A23" s="45">
        <v>1320</v>
      </c>
      <c r="B23">
        <v>1.93</v>
      </c>
      <c r="C23">
        <v>687</v>
      </c>
      <c r="E23">
        <v>1.93</v>
      </c>
      <c r="F23">
        <v>687</v>
      </c>
    </row>
    <row r="24" spans="1:6" x14ac:dyDescent="0.35">
      <c r="A24" s="45">
        <v>1321</v>
      </c>
      <c r="B24">
        <v>1.63</v>
      </c>
      <c r="C24">
        <v>87</v>
      </c>
      <c r="E24">
        <v>1.63</v>
      </c>
      <c r="F24">
        <v>87</v>
      </c>
    </row>
    <row r="25" spans="1:6" x14ac:dyDescent="0.35">
      <c r="A25" s="45">
        <v>1323</v>
      </c>
      <c r="B25">
        <v>1.1100000000000001</v>
      </c>
      <c r="C25">
        <v>8</v>
      </c>
      <c r="E25">
        <v>1.1100000000000001</v>
      </c>
      <c r="F25">
        <v>8</v>
      </c>
    </row>
    <row r="26" spans="1:6" x14ac:dyDescent="0.35">
      <c r="A26" s="45">
        <v>1337</v>
      </c>
      <c r="B26">
        <v>2.5</v>
      </c>
      <c r="C26">
        <v>1262</v>
      </c>
      <c r="E26">
        <v>2.5</v>
      </c>
      <c r="F26">
        <v>1262</v>
      </c>
    </row>
    <row r="27" spans="1:6" x14ac:dyDescent="0.35">
      <c r="A27" s="45">
        <v>1378</v>
      </c>
      <c r="B27">
        <v>1.58</v>
      </c>
      <c r="C27">
        <v>22</v>
      </c>
      <c r="E27">
        <v>1.58</v>
      </c>
      <c r="F27">
        <v>22</v>
      </c>
    </row>
    <row r="28" spans="1:6" x14ac:dyDescent="0.35">
      <c r="A28" s="45">
        <v>1425</v>
      </c>
      <c r="B28">
        <v>1.79</v>
      </c>
      <c r="C28">
        <v>4</v>
      </c>
      <c r="E28">
        <v>1.79</v>
      </c>
      <c r="F28">
        <v>4</v>
      </c>
    </row>
    <row r="29" spans="1:6" x14ac:dyDescent="0.35">
      <c r="A29" s="45">
        <v>1444</v>
      </c>
      <c r="B29">
        <v>1.32</v>
      </c>
      <c r="C29">
        <v>1337</v>
      </c>
      <c r="E29">
        <v>1.32</v>
      </c>
      <c r="F29">
        <v>1337</v>
      </c>
    </row>
    <row r="30" spans="1:6" x14ac:dyDescent="0.35">
      <c r="A30" s="45">
        <v>1451</v>
      </c>
      <c r="B30">
        <v>1.58</v>
      </c>
      <c r="C30">
        <v>401</v>
      </c>
      <c r="E30">
        <v>1.58</v>
      </c>
      <c r="F30">
        <v>401</v>
      </c>
    </row>
    <row r="31" spans="1:6" x14ac:dyDescent="0.35">
      <c r="A31" s="45">
        <v>1489</v>
      </c>
      <c r="B31">
        <v>1.03</v>
      </c>
      <c r="C31">
        <v>3208</v>
      </c>
      <c r="E31">
        <v>1.03</v>
      </c>
      <c r="F31">
        <v>3208</v>
      </c>
    </row>
    <row r="32" spans="1:6" x14ac:dyDescent="0.35">
      <c r="A32" s="45">
        <v>1582</v>
      </c>
      <c r="B32">
        <v>1.01</v>
      </c>
      <c r="C32">
        <v>3210</v>
      </c>
      <c r="E32">
        <v>1.01</v>
      </c>
      <c r="F32">
        <v>3210</v>
      </c>
    </row>
    <row r="33" spans="1:6" x14ac:dyDescent="0.35">
      <c r="A33" s="45">
        <v>1738</v>
      </c>
      <c r="B33">
        <v>1.37</v>
      </c>
      <c r="C33">
        <v>922</v>
      </c>
      <c r="E33">
        <v>1.37</v>
      </c>
      <c r="F33">
        <v>922</v>
      </c>
    </row>
    <row r="34" spans="1:6" x14ac:dyDescent="0.35">
      <c r="A34" s="45">
        <v>1752</v>
      </c>
      <c r="B34">
        <v>0.92</v>
      </c>
      <c r="C34">
        <v>3089</v>
      </c>
      <c r="E34">
        <v>0.92</v>
      </c>
      <c r="F34">
        <v>3089</v>
      </c>
    </row>
    <row r="35" spans="1:6" x14ac:dyDescent="0.35">
      <c r="A35" s="45">
        <v>1759</v>
      </c>
      <c r="B35">
        <v>1.92</v>
      </c>
      <c r="C35">
        <v>1463</v>
      </c>
      <c r="E35">
        <v>1.92</v>
      </c>
      <c r="F35">
        <v>1463</v>
      </c>
    </row>
    <row r="36" spans="1:6" x14ac:dyDescent="0.35">
      <c r="A36" s="45">
        <v>1785</v>
      </c>
      <c r="B36">
        <v>1.56</v>
      </c>
      <c r="C36">
        <v>5</v>
      </c>
      <c r="E36">
        <v>1.56</v>
      </c>
      <c r="F36">
        <v>5</v>
      </c>
    </row>
    <row r="37" spans="1:6" x14ac:dyDescent="0.35">
      <c r="A37" s="45">
        <v>1827</v>
      </c>
      <c r="B37">
        <v>2.73</v>
      </c>
      <c r="C37">
        <v>1322</v>
      </c>
      <c r="E37">
        <v>2.73</v>
      </c>
      <c r="F37">
        <v>1322</v>
      </c>
    </row>
    <row r="38" spans="1:6" x14ac:dyDescent="0.35">
      <c r="A38" s="45">
        <v>1874</v>
      </c>
      <c r="B38">
        <v>1.35</v>
      </c>
      <c r="C38">
        <v>1734</v>
      </c>
      <c r="E38">
        <v>1.35</v>
      </c>
      <c r="F38">
        <v>1734</v>
      </c>
    </row>
    <row r="39" spans="1:6" x14ac:dyDescent="0.35">
      <c r="A39" s="45">
        <v>1884</v>
      </c>
      <c r="B39">
        <v>2.67</v>
      </c>
      <c r="C39">
        <v>427</v>
      </c>
      <c r="E39">
        <v>2.67</v>
      </c>
      <c r="F39">
        <v>427</v>
      </c>
    </row>
    <row r="40" spans="1:6" x14ac:dyDescent="0.35">
      <c r="A40" s="45">
        <v>1890</v>
      </c>
      <c r="B40">
        <v>1.61</v>
      </c>
      <c r="C40">
        <v>561</v>
      </c>
      <c r="E40">
        <v>1.61</v>
      </c>
      <c r="F40">
        <v>561</v>
      </c>
    </row>
    <row r="41" spans="1:6" x14ac:dyDescent="0.35">
      <c r="A41" s="45">
        <v>1894</v>
      </c>
      <c r="B41">
        <v>1.1299999999999999</v>
      </c>
      <c r="C41">
        <v>2874</v>
      </c>
      <c r="E41">
        <v>1.1299999999999999</v>
      </c>
      <c r="F41">
        <v>2874</v>
      </c>
    </row>
    <row r="42" spans="1:6" x14ac:dyDescent="0.35">
      <c r="A42" s="45">
        <v>1895</v>
      </c>
      <c r="B42">
        <v>1.17</v>
      </c>
      <c r="C42">
        <v>2134</v>
      </c>
      <c r="E42">
        <v>1.17</v>
      </c>
      <c r="F42">
        <v>2134</v>
      </c>
    </row>
    <row r="43" spans="1:6" x14ac:dyDescent="0.35">
      <c r="A43" s="45">
        <v>1930</v>
      </c>
      <c r="B43">
        <v>1.54</v>
      </c>
      <c r="C43">
        <v>293</v>
      </c>
      <c r="E43">
        <v>1.54</v>
      </c>
      <c r="F43">
        <v>293</v>
      </c>
    </row>
    <row r="44" spans="1:6" x14ac:dyDescent="0.35">
      <c r="A44" s="45">
        <v>1959</v>
      </c>
      <c r="B44">
        <v>1.48</v>
      </c>
      <c r="C44">
        <v>251</v>
      </c>
      <c r="E44">
        <v>1.48</v>
      </c>
      <c r="F44">
        <v>251</v>
      </c>
    </row>
    <row r="45" spans="1:6" x14ac:dyDescent="0.35">
      <c r="A45" s="45">
        <v>1990</v>
      </c>
      <c r="B45">
        <v>1.6</v>
      </c>
      <c r="C45">
        <v>2394</v>
      </c>
      <c r="E45">
        <v>1.6</v>
      </c>
      <c r="F45">
        <v>2394</v>
      </c>
    </row>
    <row r="46" spans="1:6" x14ac:dyDescent="0.35">
      <c r="A46" s="45">
        <v>2130</v>
      </c>
      <c r="B46">
        <v>2.5499999999999998</v>
      </c>
      <c r="C46">
        <v>342</v>
      </c>
      <c r="E46">
        <v>2.5499999999999998</v>
      </c>
      <c r="F46">
        <v>342</v>
      </c>
    </row>
    <row r="47" spans="1:6" x14ac:dyDescent="0.35">
      <c r="A47" s="45">
        <v>2220</v>
      </c>
      <c r="B47">
        <v>2.66</v>
      </c>
      <c r="C47">
        <v>475</v>
      </c>
      <c r="E47">
        <v>2.66</v>
      </c>
      <c r="F47">
        <v>475</v>
      </c>
    </row>
    <row r="48" spans="1:6" x14ac:dyDescent="0.35">
      <c r="A48" s="45">
        <v>2423</v>
      </c>
      <c r="B48">
        <v>2.94</v>
      </c>
      <c r="C48">
        <v>376</v>
      </c>
      <c r="E48">
        <v>2.94</v>
      </c>
      <c r="F48">
        <v>376</v>
      </c>
    </row>
    <row r="49" spans="1:6" x14ac:dyDescent="0.35">
      <c r="A49" s="45">
        <v>2453</v>
      </c>
      <c r="B49">
        <v>2.87</v>
      </c>
      <c r="C49">
        <v>410</v>
      </c>
      <c r="E49">
        <v>2.87</v>
      </c>
      <c r="F49">
        <v>410</v>
      </c>
    </row>
    <row r="50" spans="1:6" x14ac:dyDescent="0.35">
      <c r="A50" s="45">
        <v>2487</v>
      </c>
      <c r="B50">
        <v>2.79</v>
      </c>
      <c r="C50">
        <v>705</v>
      </c>
      <c r="E50">
        <v>2.79</v>
      </c>
      <c r="F50">
        <v>705</v>
      </c>
    </row>
    <row r="51" spans="1:6" x14ac:dyDescent="0.35">
      <c r="A51" s="45">
        <v>2530</v>
      </c>
      <c r="B51">
        <v>2.99</v>
      </c>
      <c r="C51">
        <v>646</v>
      </c>
      <c r="E51">
        <v>2.99</v>
      </c>
      <c r="F51">
        <v>646</v>
      </c>
    </row>
    <row r="52" spans="1:6" x14ac:dyDescent="0.35">
      <c r="A52" s="45">
        <v>2550</v>
      </c>
      <c r="B52">
        <v>2.56</v>
      </c>
      <c r="C52">
        <v>538</v>
      </c>
      <c r="E52">
        <v>2.56</v>
      </c>
      <c r="F52">
        <v>538</v>
      </c>
    </row>
    <row r="53" spans="1:6" x14ac:dyDescent="0.35">
      <c r="A53" s="45">
        <v>2558</v>
      </c>
      <c r="B53">
        <v>2.64</v>
      </c>
      <c r="C53">
        <v>501</v>
      </c>
      <c r="E53">
        <v>2.64</v>
      </c>
      <c r="F53">
        <v>501</v>
      </c>
    </row>
    <row r="54" spans="1:6" x14ac:dyDescent="0.35">
      <c r="A54" s="45">
        <v>2651</v>
      </c>
      <c r="B54">
        <v>2.89</v>
      </c>
      <c r="C54">
        <v>578</v>
      </c>
      <c r="E54">
        <v>2.89</v>
      </c>
      <c r="F54">
        <v>578</v>
      </c>
    </row>
    <row r="55" spans="1:6" x14ac:dyDescent="0.35">
      <c r="A55" s="45">
        <v>2700</v>
      </c>
      <c r="B55">
        <v>2.89</v>
      </c>
      <c r="C55">
        <v>561</v>
      </c>
      <c r="E55">
        <v>2.89</v>
      </c>
      <c r="F55">
        <v>561</v>
      </c>
    </row>
    <row r="56" spans="1:6" x14ac:dyDescent="0.35">
      <c r="A56" s="45">
        <v>2758</v>
      </c>
      <c r="B56">
        <v>2.82</v>
      </c>
      <c r="C56">
        <v>715</v>
      </c>
      <c r="E56">
        <v>2.82</v>
      </c>
      <c r="F56">
        <v>715</v>
      </c>
    </row>
    <row r="57" spans="1:6" x14ac:dyDescent="0.35">
      <c r="A57" s="45">
        <v>2877</v>
      </c>
      <c r="B57">
        <v>2.3199999999999998</v>
      </c>
      <c r="C57">
        <v>493</v>
      </c>
      <c r="E57">
        <v>2.3199999999999998</v>
      </c>
      <c r="F57">
        <v>493</v>
      </c>
    </row>
    <row r="58" spans="1:6" x14ac:dyDescent="0.35">
      <c r="A58" s="45" t="s">
        <v>84</v>
      </c>
      <c r="B58">
        <v>1.8409803921568624</v>
      </c>
      <c r="C58">
        <v>55322</v>
      </c>
    </row>
  </sheetData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7169" r:id="rId4" name="TextBox1">
          <controlPr defaultSize="0" autoLine="0" autoPict="0" r:id="rId5">
            <anchor moveWithCells="1">
              <from>
                <xdr:col>7</xdr:col>
                <xdr:colOff>171450</xdr:colOff>
                <xdr:row>20</xdr:row>
                <xdr:rowOff>31750</xdr:rowOff>
              </from>
              <to>
                <xdr:col>12</xdr:col>
                <xdr:colOff>406400</xdr:colOff>
                <xdr:row>24</xdr:row>
                <xdr:rowOff>165100</xdr:rowOff>
              </to>
            </anchor>
          </controlPr>
        </control>
      </mc:Choice>
      <mc:Fallback>
        <control shapeId="7169" r:id="rId4" name="Text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75ABD-A497-49E5-B967-E49AB90B05D8}">
  <sheetPr codeName="Feuil9"/>
  <dimension ref="A1:D29"/>
  <sheetViews>
    <sheetView topLeftCell="A11" workbookViewId="0">
      <selection activeCell="B30" sqref="B30"/>
    </sheetView>
  </sheetViews>
  <sheetFormatPr baseColWidth="10" defaultRowHeight="14.5" x14ac:dyDescent="0.35"/>
  <cols>
    <col min="1" max="1" width="21.08984375" customWidth="1"/>
    <col min="2" max="2" width="22.36328125" bestFit="1" customWidth="1"/>
    <col min="3" max="3" width="6.81640625" bestFit="1" customWidth="1"/>
    <col min="4" max="4" width="11.7265625" bestFit="1" customWidth="1"/>
  </cols>
  <sheetData>
    <row r="1" spans="1:4" x14ac:dyDescent="0.35">
      <c r="A1" s="44" t="s">
        <v>49</v>
      </c>
      <c r="B1" s="46">
        <v>44713</v>
      </c>
    </row>
    <row r="3" spans="1:4" x14ac:dyDescent="0.35">
      <c r="A3" s="44" t="s">
        <v>108</v>
      </c>
      <c r="B3" s="44" t="s">
        <v>93</v>
      </c>
    </row>
    <row r="4" spans="1:4" x14ac:dyDescent="0.35">
      <c r="A4" s="44" t="s">
        <v>82</v>
      </c>
      <c r="B4" t="s">
        <v>41</v>
      </c>
      <c r="C4" t="s">
        <v>83</v>
      </c>
      <c r="D4" t="s">
        <v>84</v>
      </c>
    </row>
    <row r="5" spans="1:4" x14ac:dyDescent="0.35">
      <c r="A5" s="45" t="s">
        <v>1</v>
      </c>
      <c r="B5">
        <v>3</v>
      </c>
      <c r="C5">
        <v>36</v>
      </c>
      <c r="D5">
        <v>39</v>
      </c>
    </row>
    <row r="6" spans="1:4" x14ac:dyDescent="0.35">
      <c r="A6" s="45" t="s">
        <v>44</v>
      </c>
      <c r="B6">
        <v>12</v>
      </c>
      <c r="D6">
        <v>12</v>
      </c>
    </row>
    <row r="7" spans="1:4" x14ac:dyDescent="0.35">
      <c r="A7" s="45" t="s">
        <v>84</v>
      </c>
      <c r="B7">
        <v>15</v>
      </c>
      <c r="C7">
        <v>36</v>
      </c>
      <c r="D7">
        <v>51</v>
      </c>
    </row>
    <row r="13" spans="1:4" x14ac:dyDescent="0.35">
      <c r="A13" s="48" t="s">
        <v>108</v>
      </c>
      <c r="B13" s="48" t="s">
        <v>93</v>
      </c>
      <c r="C13" s="48"/>
      <c r="D13" s="48"/>
    </row>
    <row r="14" spans="1:4" x14ac:dyDescent="0.35">
      <c r="A14" s="43" t="s">
        <v>82</v>
      </c>
      <c r="B14" s="43" t="s">
        <v>41</v>
      </c>
      <c r="C14" s="43" t="s">
        <v>83</v>
      </c>
      <c r="D14" s="43" t="s">
        <v>84</v>
      </c>
    </row>
    <row r="15" spans="1:4" x14ac:dyDescent="0.35">
      <c r="A15" s="45" t="s">
        <v>1</v>
      </c>
      <c r="B15">
        <v>3</v>
      </c>
      <c r="C15">
        <v>36</v>
      </c>
      <c r="D15">
        <v>39</v>
      </c>
    </row>
    <row r="16" spans="1:4" x14ac:dyDescent="0.35">
      <c r="A16" s="45" t="s">
        <v>44</v>
      </c>
      <c r="B16">
        <v>12</v>
      </c>
      <c r="C16">
        <v>0</v>
      </c>
      <c r="D16">
        <v>12</v>
      </c>
    </row>
    <row r="17" spans="1:4" x14ac:dyDescent="0.35">
      <c r="A17" s="49" t="s">
        <v>84</v>
      </c>
      <c r="B17" s="50">
        <v>15</v>
      </c>
      <c r="C17" s="50">
        <v>36</v>
      </c>
      <c r="D17" s="50">
        <v>51</v>
      </c>
    </row>
    <row r="19" spans="1:4" x14ac:dyDescent="0.35">
      <c r="A19" s="51"/>
      <c r="B19" s="51" t="s">
        <v>109</v>
      </c>
      <c r="C19" s="51"/>
      <c r="D19" s="51"/>
    </row>
    <row r="20" spans="1:4" x14ac:dyDescent="0.35">
      <c r="A20" s="52" t="s">
        <v>82</v>
      </c>
      <c r="B20" s="52" t="s">
        <v>41</v>
      </c>
      <c r="C20" s="52" t="s">
        <v>83</v>
      </c>
      <c r="D20" s="52" t="s">
        <v>84</v>
      </c>
    </row>
    <row r="21" spans="1:4" x14ac:dyDescent="0.35">
      <c r="A21" s="45" t="s">
        <v>1</v>
      </c>
      <c r="B21" s="56">
        <f>D21*B23</f>
        <v>11.470588235294118</v>
      </c>
      <c r="C21" s="56">
        <f>D21*C23</f>
        <v>27.529411764705884</v>
      </c>
      <c r="D21">
        <v>39</v>
      </c>
    </row>
    <row r="22" spans="1:4" x14ac:dyDescent="0.35">
      <c r="A22" s="45" t="s">
        <v>44</v>
      </c>
      <c r="B22" s="56">
        <f>D22*B23</f>
        <v>3.5294117647058822</v>
      </c>
      <c r="C22" s="56">
        <f>D22*C23</f>
        <v>8.4705882352941178</v>
      </c>
      <c r="D22">
        <v>12</v>
      </c>
    </row>
    <row r="23" spans="1:4" x14ac:dyDescent="0.35">
      <c r="A23" s="53" t="s">
        <v>84</v>
      </c>
      <c r="B23" s="55">
        <f>SUM(B15:B16)/D17</f>
        <v>0.29411764705882354</v>
      </c>
      <c r="C23" s="55">
        <f>SUM(C15:C16)/D17</f>
        <v>0.70588235294117652</v>
      </c>
      <c r="D23" s="55">
        <f>B23+C23</f>
        <v>1</v>
      </c>
    </row>
    <row r="24" spans="1:4" x14ac:dyDescent="0.35">
      <c r="A24" s="54"/>
      <c r="B24" s="54"/>
      <c r="C24" s="54"/>
      <c r="D24" s="54"/>
    </row>
    <row r="27" spans="1:4" x14ac:dyDescent="0.35">
      <c r="A27" s="54" t="s">
        <v>110</v>
      </c>
      <c r="B27">
        <f>CHITEST(B15:C16,B21:C22)</f>
        <v>8.4147452413078557E-10</v>
      </c>
    </row>
    <row r="28" spans="1:4" x14ac:dyDescent="0.35">
      <c r="A28" s="54" t="s">
        <v>111</v>
      </c>
      <c r="B28">
        <f>CHIINV(B27,1)</f>
        <v>37.661538643400938</v>
      </c>
    </row>
    <row r="29" spans="1:4" x14ac:dyDescent="0.35">
      <c r="A29" s="54" t="s">
        <v>112</v>
      </c>
      <c r="B29">
        <f>CHIINV(0.05,1)</f>
        <v>3.8414588206941236</v>
      </c>
    </row>
  </sheetData>
  <pageMargins left="0.7" right="0.7" top="0.75" bottom="0.75" header="0.3" footer="0.3"/>
  <ignoredErrors>
    <ignoredError sqref="B23:C23" formulaRange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89911-AFB4-4C7C-9B61-60FDCA81EF0F}">
  <sheetPr codeName="Feuil8"/>
  <dimension ref="A1:R44"/>
  <sheetViews>
    <sheetView topLeftCell="K1" workbookViewId="0">
      <selection activeCell="R5" sqref="R5"/>
    </sheetView>
  </sheetViews>
  <sheetFormatPr baseColWidth="10" defaultRowHeight="14.5" x14ac:dyDescent="0.35"/>
  <cols>
    <col min="1" max="1" width="19.54296875" bestFit="1" customWidth="1"/>
    <col min="2" max="2" width="21.1796875" bestFit="1" customWidth="1"/>
    <col min="5" max="5" width="23.453125" style="57" customWidth="1"/>
    <col min="6" max="6" width="24.7265625" style="57" customWidth="1"/>
    <col min="7" max="7" width="10.90625" style="57"/>
    <col min="8" max="8" width="26.7265625" style="57" customWidth="1"/>
    <col min="9" max="9" width="26.6328125" style="57" customWidth="1"/>
    <col min="11" max="11" width="14.453125" customWidth="1"/>
    <col min="17" max="17" width="14.90625" customWidth="1"/>
    <col min="18" max="18" width="11.81640625" bestFit="1" customWidth="1"/>
  </cols>
  <sheetData>
    <row r="1" spans="1:18" x14ac:dyDescent="0.35">
      <c r="A1" s="44" t="s">
        <v>49</v>
      </c>
      <c r="B1" s="46">
        <v>44713</v>
      </c>
    </row>
    <row r="2" spans="1:18" x14ac:dyDescent="0.35">
      <c r="A2" s="44" t="s">
        <v>79</v>
      </c>
      <c r="B2" t="s">
        <v>44</v>
      </c>
    </row>
    <row r="4" spans="1:18" x14ac:dyDescent="0.35">
      <c r="A4" s="44" t="s">
        <v>82</v>
      </c>
      <c r="B4" t="s">
        <v>104</v>
      </c>
      <c r="E4" s="69" t="s">
        <v>113</v>
      </c>
      <c r="F4" s="69"/>
      <c r="H4" s="69" t="s">
        <v>1</v>
      </c>
      <c r="I4" s="69"/>
      <c r="K4" s="59" t="s">
        <v>114</v>
      </c>
      <c r="L4">
        <f>FTEST(F6:F44,I6:I17)</f>
        <v>1.1102090222510887E-2</v>
      </c>
      <c r="Q4" s="59" t="s">
        <v>115</v>
      </c>
      <c r="R4">
        <f>TTEST(F6:F44,I6:I17,2,3)</f>
        <v>2.4317616194473337E-16</v>
      </c>
    </row>
    <row r="5" spans="1:18" x14ac:dyDescent="0.35">
      <c r="A5" s="45">
        <v>2130</v>
      </c>
      <c r="B5">
        <v>2.5499999999999998</v>
      </c>
      <c r="E5" s="58" t="s">
        <v>82</v>
      </c>
      <c r="F5" s="58" t="s">
        <v>104</v>
      </c>
      <c r="H5" s="58" t="s">
        <v>82</v>
      </c>
      <c r="I5" s="58" t="s">
        <v>104</v>
      </c>
    </row>
    <row r="6" spans="1:18" x14ac:dyDescent="0.35">
      <c r="A6" s="45">
        <v>2220</v>
      </c>
      <c r="B6">
        <v>2.66</v>
      </c>
      <c r="E6" s="57">
        <v>1109</v>
      </c>
      <c r="F6" s="57">
        <v>1.84</v>
      </c>
      <c r="H6" s="57">
        <v>2130</v>
      </c>
      <c r="I6" s="57">
        <v>2.5499999999999998</v>
      </c>
    </row>
    <row r="7" spans="1:18" x14ac:dyDescent="0.35">
      <c r="A7" s="45">
        <v>2423</v>
      </c>
      <c r="B7">
        <v>2.94</v>
      </c>
      <c r="E7" s="57">
        <v>1116</v>
      </c>
      <c r="F7" s="57">
        <v>1.95</v>
      </c>
      <c r="H7" s="57">
        <v>2220</v>
      </c>
      <c r="I7" s="57">
        <v>2.66</v>
      </c>
    </row>
    <row r="8" spans="1:18" x14ac:dyDescent="0.35">
      <c r="A8" s="45">
        <v>2453</v>
      </c>
      <c r="B8">
        <v>2.87</v>
      </c>
      <c r="E8" s="57">
        <v>1119</v>
      </c>
      <c r="F8" s="57">
        <v>1.48</v>
      </c>
      <c r="H8" s="57">
        <v>2423</v>
      </c>
      <c r="I8" s="57">
        <v>2.94</v>
      </c>
    </row>
    <row r="9" spans="1:18" x14ac:dyDescent="0.35">
      <c r="A9" s="45">
        <v>2487</v>
      </c>
      <c r="B9">
        <v>2.79</v>
      </c>
      <c r="E9" s="57">
        <v>1122</v>
      </c>
      <c r="F9" s="57">
        <v>1.99</v>
      </c>
      <c r="H9" s="57">
        <v>2453</v>
      </c>
      <c r="I9" s="57">
        <v>2.87</v>
      </c>
    </row>
    <row r="10" spans="1:18" x14ac:dyDescent="0.35">
      <c r="A10" s="45">
        <v>2530</v>
      </c>
      <c r="B10">
        <v>2.99</v>
      </c>
      <c r="E10" s="57">
        <v>1129</v>
      </c>
      <c r="F10" s="57">
        <v>1.27</v>
      </c>
      <c r="H10" s="57">
        <v>2487</v>
      </c>
      <c r="I10" s="57">
        <v>2.79</v>
      </c>
    </row>
    <row r="11" spans="1:18" x14ac:dyDescent="0.35">
      <c r="A11" s="45">
        <v>2550</v>
      </c>
      <c r="B11">
        <v>2.56</v>
      </c>
      <c r="E11" s="57">
        <v>1132</v>
      </c>
      <c r="F11" s="57">
        <v>1.61</v>
      </c>
      <c r="H11" s="57">
        <v>2530</v>
      </c>
      <c r="I11" s="57">
        <v>2.99</v>
      </c>
    </row>
    <row r="12" spans="1:18" x14ac:dyDescent="0.35">
      <c r="A12" s="45">
        <v>2558</v>
      </c>
      <c r="B12">
        <v>2.64</v>
      </c>
      <c r="E12" s="57">
        <v>1168</v>
      </c>
      <c r="F12" s="57">
        <v>1.43</v>
      </c>
      <c r="H12" s="57">
        <v>2550</v>
      </c>
      <c r="I12" s="57">
        <v>2.56</v>
      </c>
    </row>
    <row r="13" spans="1:18" x14ac:dyDescent="0.35">
      <c r="A13" s="45">
        <v>2651</v>
      </c>
      <c r="B13">
        <v>2.89</v>
      </c>
      <c r="E13" s="57">
        <v>1170</v>
      </c>
      <c r="F13" s="57">
        <v>1.64</v>
      </c>
      <c r="H13" s="57">
        <v>2558</v>
      </c>
      <c r="I13" s="57">
        <v>2.64</v>
      </c>
    </row>
    <row r="14" spans="1:18" x14ac:dyDescent="0.35">
      <c r="A14" s="45">
        <v>2700</v>
      </c>
      <c r="B14">
        <v>2.89</v>
      </c>
      <c r="E14" s="57">
        <v>1214</v>
      </c>
      <c r="F14" s="57">
        <v>1.1100000000000001</v>
      </c>
      <c r="H14" s="57">
        <v>2651</v>
      </c>
      <c r="I14" s="57">
        <v>2.89</v>
      </c>
    </row>
    <row r="15" spans="1:18" x14ac:dyDescent="0.35">
      <c r="A15" s="45">
        <v>2758</v>
      </c>
      <c r="B15">
        <v>2.82</v>
      </c>
      <c r="E15" s="57">
        <v>1217</v>
      </c>
      <c r="F15" s="57">
        <v>1.88</v>
      </c>
      <c r="H15" s="57">
        <v>2700</v>
      </c>
      <c r="I15" s="57">
        <v>2.89</v>
      </c>
    </row>
    <row r="16" spans="1:18" x14ac:dyDescent="0.35">
      <c r="A16" s="45">
        <v>2877</v>
      </c>
      <c r="B16">
        <v>2.3199999999999998</v>
      </c>
      <c r="E16" s="57">
        <v>1239</v>
      </c>
      <c r="F16" s="57">
        <v>1.1399999999999999</v>
      </c>
      <c r="H16" s="57">
        <v>2758</v>
      </c>
      <c r="I16" s="57">
        <v>2.82</v>
      </c>
    </row>
    <row r="17" spans="1:9" x14ac:dyDescent="0.35">
      <c r="A17" s="45" t="s">
        <v>84</v>
      </c>
      <c r="B17">
        <v>32.919999999999995</v>
      </c>
      <c r="E17" s="57">
        <v>1277</v>
      </c>
      <c r="F17" s="57">
        <v>1.6</v>
      </c>
      <c r="H17" s="57">
        <v>2877</v>
      </c>
      <c r="I17" s="57">
        <v>2.3199999999999998</v>
      </c>
    </row>
    <row r="18" spans="1:9" x14ac:dyDescent="0.35">
      <c r="E18" s="57">
        <v>1282</v>
      </c>
      <c r="F18" s="57">
        <v>1.5</v>
      </c>
    </row>
    <row r="19" spans="1:9" x14ac:dyDescent="0.35">
      <c r="E19" s="57">
        <v>1305</v>
      </c>
      <c r="F19" s="57">
        <v>1.41</v>
      </c>
    </row>
    <row r="20" spans="1:9" x14ac:dyDescent="0.35">
      <c r="E20" s="57">
        <v>1315</v>
      </c>
      <c r="F20" s="57">
        <v>1.39</v>
      </c>
    </row>
    <row r="21" spans="1:9" x14ac:dyDescent="0.35">
      <c r="E21" s="57">
        <v>1317</v>
      </c>
      <c r="F21" s="57">
        <v>1.2</v>
      </c>
    </row>
    <row r="22" spans="1:9" x14ac:dyDescent="0.35">
      <c r="E22" s="57">
        <v>1320</v>
      </c>
      <c r="F22" s="57">
        <v>1.93</v>
      </c>
    </row>
    <row r="23" spans="1:9" x14ac:dyDescent="0.35">
      <c r="E23" s="57">
        <v>1321</v>
      </c>
      <c r="F23" s="57">
        <v>1.63</v>
      </c>
    </row>
    <row r="24" spans="1:9" x14ac:dyDescent="0.35">
      <c r="E24" s="57">
        <v>1323</v>
      </c>
      <c r="F24" s="57">
        <v>1.1100000000000001</v>
      </c>
    </row>
    <row r="25" spans="1:9" x14ac:dyDescent="0.35">
      <c r="E25" s="57">
        <v>1337</v>
      </c>
      <c r="F25" s="57">
        <v>2.5</v>
      </c>
    </row>
    <row r="26" spans="1:9" x14ac:dyDescent="0.35">
      <c r="E26" s="57">
        <v>1378</v>
      </c>
      <c r="F26" s="57">
        <v>1.58</v>
      </c>
    </row>
    <row r="27" spans="1:9" x14ac:dyDescent="0.35">
      <c r="E27" s="57">
        <v>1425</v>
      </c>
      <c r="F27" s="57">
        <v>1.79</v>
      </c>
    </row>
    <row r="28" spans="1:9" x14ac:dyDescent="0.35">
      <c r="E28" s="57">
        <v>1444</v>
      </c>
      <c r="F28" s="57">
        <v>1.32</v>
      </c>
    </row>
    <row r="29" spans="1:9" x14ac:dyDescent="0.35">
      <c r="E29" s="57">
        <v>1451</v>
      </c>
      <c r="F29" s="57">
        <v>1.58</v>
      </c>
    </row>
    <row r="30" spans="1:9" x14ac:dyDescent="0.35">
      <c r="E30" s="57">
        <v>1489</v>
      </c>
      <c r="F30" s="57">
        <v>1.03</v>
      </c>
    </row>
    <row r="31" spans="1:9" x14ac:dyDescent="0.35">
      <c r="E31" s="57">
        <v>1582</v>
      </c>
      <c r="F31" s="57">
        <v>1.01</v>
      </c>
    </row>
    <row r="32" spans="1:9" x14ac:dyDescent="0.35">
      <c r="E32" s="57">
        <v>1738</v>
      </c>
      <c r="F32" s="57">
        <v>1.37</v>
      </c>
    </row>
    <row r="33" spans="5:6" x14ac:dyDescent="0.35">
      <c r="E33" s="57">
        <v>1752</v>
      </c>
      <c r="F33" s="57">
        <v>0.92</v>
      </c>
    </row>
    <row r="34" spans="5:6" x14ac:dyDescent="0.35">
      <c r="E34" s="57">
        <v>1759</v>
      </c>
      <c r="F34" s="57">
        <v>1.92</v>
      </c>
    </row>
    <row r="35" spans="5:6" x14ac:dyDescent="0.35">
      <c r="E35" s="57">
        <v>1785</v>
      </c>
      <c r="F35" s="57">
        <v>1.56</v>
      </c>
    </row>
    <row r="36" spans="5:6" x14ac:dyDescent="0.35">
      <c r="E36" s="57">
        <v>1827</v>
      </c>
      <c r="F36" s="57">
        <v>2.73</v>
      </c>
    </row>
    <row r="37" spans="5:6" x14ac:dyDescent="0.35">
      <c r="E37" s="57">
        <v>1874</v>
      </c>
      <c r="F37" s="57">
        <v>1.35</v>
      </c>
    </row>
    <row r="38" spans="5:6" x14ac:dyDescent="0.35">
      <c r="E38" s="57">
        <v>1884</v>
      </c>
      <c r="F38" s="57">
        <v>2.67</v>
      </c>
    </row>
    <row r="39" spans="5:6" x14ac:dyDescent="0.35">
      <c r="E39" s="57">
        <v>1890</v>
      </c>
      <c r="F39" s="57">
        <v>1.61</v>
      </c>
    </row>
    <row r="40" spans="5:6" x14ac:dyDescent="0.35">
      <c r="E40" s="57">
        <v>1894</v>
      </c>
      <c r="F40" s="57">
        <v>1.1299999999999999</v>
      </c>
    </row>
    <row r="41" spans="5:6" x14ac:dyDescent="0.35">
      <c r="E41" s="57">
        <v>1895</v>
      </c>
      <c r="F41" s="57">
        <v>1.17</v>
      </c>
    </row>
    <row r="42" spans="5:6" x14ac:dyDescent="0.35">
      <c r="E42" s="57">
        <v>1930</v>
      </c>
      <c r="F42" s="57">
        <v>1.54</v>
      </c>
    </row>
    <row r="43" spans="5:6" x14ac:dyDescent="0.35">
      <c r="E43" s="57">
        <v>1959</v>
      </c>
      <c r="F43" s="57">
        <v>1.48</v>
      </c>
    </row>
    <row r="44" spans="5:6" x14ac:dyDescent="0.35">
      <c r="E44" s="57">
        <v>1990</v>
      </c>
      <c r="F44" s="57">
        <v>1.6</v>
      </c>
    </row>
  </sheetData>
  <mergeCells count="2">
    <mergeCell ref="E4:F4"/>
    <mergeCell ref="H4:I4"/>
  </mergeCell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9217" r:id="rId4" name="TextBox1">
          <controlPr defaultSize="0" autoLine="0" r:id="rId5">
            <anchor moveWithCells="1">
              <from>
                <xdr:col>10</xdr:col>
                <xdr:colOff>6350</xdr:colOff>
                <xdr:row>5</xdr:row>
                <xdr:rowOff>146050</xdr:rowOff>
              </from>
              <to>
                <xdr:col>15</xdr:col>
                <xdr:colOff>120650</xdr:colOff>
                <xdr:row>15</xdr:row>
                <xdr:rowOff>146050</xdr:rowOff>
              </to>
            </anchor>
          </controlPr>
        </control>
      </mc:Choice>
      <mc:Fallback>
        <control shapeId="9217" r:id="rId4" name="TextBox1"/>
      </mc:Fallback>
    </mc:AlternateContent>
    <mc:AlternateContent xmlns:mc="http://schemas.openxmlformats.org/markup-compatibility/2006">
      <mc:Choice Requires="x14">
        <control shapeId="9218" r:id="rId6" name="TextBox2">
          <controlPr defaultSize="0" autoLine="0" autoPict="0" r:id="rId7">
            <anchor moveWithCells="1">
              <from>
                <xdr:col>16</xdr:col>
                <xdr:colOff>44450</xdr:colOff>
                <xdr:row>5</xdr:row>
                <xdr:rowOff>158750</xdr:rowOff>
              </from>
              <to>
                <xdr:col>19</xdr:col>
                <xdr:colOff>622300</xdr:colOff>
                <xdr:row>15</xdr:row>
                <xdr:rowOff>152400</xdr:rowOff>
              </to>
            </anchor>
          </controlPr>
        </control>
      </mc:Choice>
      <mc:Fallback>
        <control shapeId="9218" r:id="rId6" name="TextBox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142CC-EBFE-4A4C-A92D-29FD0FF24F31}">
  <sheetPr codeName="Feuil4"/>
  <dimension ref="A1:E10"/>
  <sheetViews>
    <sheetView topLeftCell="A3" workbookViewId="0"/>
  </sheetViews>
  <sheetFormatPr baseColWidth="10" defaultRowHeight="14.5" x14ac:dyDescent="0.35"/>
  <cols>
    <col min="1" max="1" width="19.1796875" customWidth="1"/>
    <col min="3" max="3" width="16.7265625" customWidth="1"/>
    <col min="4" max="4" width="33.81640625" customWidth="1"/>
    <col min="5" max="5" width="34.6328125" customWidth="1"/>
  </cols>
  <sheetData>
    <row r="1" spans="1:5" x14ac:dyDescent="0.35">
      <c r="A1" t="s">
        <v>82</v>
      </c>
      <c r="B1" t="s">
        <v>44</v>
      </c>
      <c r="C1" t="s">
        <v>100</v>
      </c>
      <c r="D1" t="s">
        <v>101</v>
      </c>
      <c r="E1" t="s">
        <v>102</v>
      </c>
    </row>
    <row r="2" spans="1:5" x14ac:dyDescent="0.35">
      <c r="A2" s="13">
        <v>44593</v>
      </c>
      <c r="B2">
        <v>11210.539999999999</v>
      </c>
    </row>
    <row r="3" spans="1:5" x14ac:dyDescent="0.35">
      <c r="A3" s="13">
        <v>44621</v>
      </c>
      <c r="B3">
        <v>11336.77</v>
      </c>
    </row>
    <row r="4" spans="1:5" x14ac:dyDescent="0.35">
      <c r="A4" s="13">
        <v>44652</v>
      </c>
      <c r="B4">
        <v>15300.68</v>
      </c>
    </row>
    <row r="5" spans="1:5" x14ac:dyDescent="0.35">
      <c r="A5" s="13">
        <v>44682</v>
      </c>
      <c r="B5">
        <v>15582.199999999999</v>
      </c>
    </row>
    <row r="6" spans="1:5" x14ac:dyDescent="0.35">
      <c r="A6" s="13">
        <v>44713</v>
      </c>
      <c r="B6">
        <v>17467.920000000002</v>
      </c>
      <c r="C6">
        <v>17467.920000000002</v>
      </c>
      <c r="D6" s="3">
        <v>17467.920000000002</v>
      </c>
      <c r="E6" s="3">
        <v>17467.920000000002</v>
      </c>
    </row>
    <row r="7" spans="1:5" x14ac:dyDescent="0.35">
      <c r="A7" s="13">
        <v>44743</v>
      </c>
      <c r="C7">
        <f>_xlfn.FORECAST.ETS(A7,$B$2:$B$6,$A$2:$A$6,1,1)</f>
        <v>18491.317890939848</v>
      </c>
      <c r="D7" s="3">
        <f>C7-_xlfn.FORECAST.ETS.CONFINT(A7,$B$2:$B$6,$A$2:$A$6,0.95,1,1)</f>
        <v>17315.156531364984</v>
      </c>
      <c r="E7" s="3">
        <f>C7+_xlfn.FORECAST.ETS.CONFINT(A7,$B$2:$B$6,$A$2:$A$6,0.95,1,1)</f>
        <v>19667.479250514712</v>
      </c>
    </row>
    <row r="8" spans="1:5" x14ac:dyDescent="0.35">
      <c r="A8" s="13">
        <v>44774</v>
      </c>
      <c r="C8">
        <f>_xlfn.FORECAST.ETS(A8,$B$2:$B$6,$A$2:$A$6,1,1)</f>
        <v>21892.738615053822</v>
      </c>
      <c r="D8" s="3">
        <f>C8-_xlfn.FORECAST.ETS.CONFINT(A8,$B$2:$B$6,$A$2:$A$6,0.95,1,1)</f>
        <v>20716.571962764749</v>
      </c>
      <c r="E8" s="3">
        <f>C8+_xlfn.FORECAST.ETS.CONFINT(A8,$B$2:$B$6,$A$2:$A$6,0.95,1,1)</f>
        <v>23068.905267342896</v>
      </c>
    </row>
    <row r="9" spans="1:5" x14ac:dyDescent="0.35">
      <c r="A9" s="13">
        <v>44805</v>
      </c>
      <c r="C9">
        <f>_xlfn.FORECAST.ETS(A9,$B$2:$B$6,$A$2:$A$6,1,1)</f>
        <v>22070.670688785631</v>
      </c>
      <c r="D9" s="3">
        <f>C9-_xlfn.FORECAST.ETS.CONFINT(A9,$B$2:$B$6,$A$2:$A$6,0.95,1,1)</f>
        <v>20884.758207377097</v>
      </c>
      <c r="E9" s="3">
        <f>C9+_xlfn.FORECAST.ETS.CONFINT(A9,$B$2:$B$6,$A$2:$A$6,0.95,1,1)</f>
        <v>23256.583170194164</v>
      </c>
    </row>
    <row r="10" spans="1:5" x14ac:dyDescent="0.35">
      <c r="A10" s="13">
        <v>44835</v>
      </c>
      <c r="C10">
        <f>_xlfn.FORECAST.ETS(A10,$B$2:$B$6,$A$2:$A$6,1,1)</f>
        <v>25472.091412899605</v>
      </c>
      <c r="D10" s="3">
        <f>C10-_xlfn.FORECAST.ETS.CONFINT(A10,$B$2:$B$6,$A$2:$A$6,0.95,1,1)</f>
        <v>24286.164350450508</v>
      </c>
      <c r="E10" s="3">
        <f>C10+_xlfn.FORECAST.ETS.CONFINT(A10,$B$2:$B$6,$A$2:$A$6,0.95,1,1)</f>
        <v>26658.018475348701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1AFFB-FA5D-4126-8EE9-CE3273B28150}">
  <sheetPr codeName="Feuil5"/>
  <dimension ref="A1:E8"/>
  <sheetViews>
    <sheetView workbookViewId="0">
      <selection activeCell="I16" sqref="I16"/>
    </sheetView>
  </sheetViews>
  <sheetFormatPr baseColWidth="10" defaultRowHeight="14.5" x14ac:dyDescent="0.35"/>
  <cols>
    <col min="1" max="1" width="19.1796875" customWidth="1"/>
    <col min="3" max="3" width="14.90625" customWidth="1"/>
    <col min="4" max="4" width="32" customWidth="1"/>
    <col min="5" max="5" width="32.81640625" customWidth="1"/>
  </cols>
  <sheetData>
    <row r="1" spans="1:5" x14ac:dyDescent="0.35">
      <c r="A1" t="s">
        <v>82</v>
      </c>
      <c r="B1" t="s">
        <v>1</v>
      </c>
      <c r="C1" t="s">
        <v>97</v>
      </c>
      <c r="D1" t="s">
        <v>98</v>
      </c>
      <c r="E1" t="s">
        <v>99</v>
      </c>
    </row>
    <row r="2" spans="1:5" x14ac:dyDescent="0.35">
      <c r="A2" s="13">
        <v>44593</v>
      </c>
      <c r="B2">
        <v>78080.390000000014</v>
      </c>
    </row>
    <row r="3" spans="1:5" x14ac:dyDescent="0.35">
      <c r="A3" s="13">
        <v>44621</v>
      </c>
      <c r="B3">
        <v>86133.830000000016</v>
      </c>
    </row>
    <row r="4" spans="1:5" x14ac:dyDescent="0.35">
      <c r="A4" s="13">
        <v>44652</v>
      </c>
      <c r="B4">
        <v>76641.480000000025</v>
      </c>
    </row>
    <row r="5" spans="1:5" x14ac:dyDescent="0.35">
      <c r="A5" s="13">
        <v>44682</v>
      </c>
      <c r="B5">
        <v>90699.699999999983</v>
      </c>
    </row>
    <row r="6" spans="1:5" x14ac:dyDescent="0.35">
      <c r="A6" s="13">
        <v>44713</v>
      </c>
      <c r="B6">
        <v>69324.179999999993</v>
      </c>
      <c r="C6">
        <v>69324.179999999993</v>
      </c>
      <c r="D6" s="3">
        <v>69324.179999999993</v>
      </c>
      <c r="E6" s="3">
        <v>69324.179999999993</v>
      </c>
    </row>
    <row r="7" spans="1:5" x14ac:dyDescent="0.35">
      <c r="A7" s="13">
        <v>44743</v>
      </c>
      <c r="C7">
        <f>_xlfn.FORECAST.ETS(A7,$B$2:$B$6,$A$2:$A$6,1,1)</f>
        <v>87105.683612574721</v>
      </c>
      <c r="D7" s="3">
        <f>C7-_xlfn.FORECAST.ETS.CONFINT(A7,$B$2:$B$6,$A$2:$A$6,0.95,1,1)</f>
        <v>79427.320038069098</v>
      </c>
      <c r="E7" s="3">
        <f>C7+_xlfn.FORECAST.ETS.CONFINT(A7,$B$2:$B$6,$A$2:$A$6,0.95,1,1)</f>
        <v>94784.047187080345</v>
      </c>
    </row>
    <row r="8" spans="1:5" x14ac:dyDescent="0.35">
      <c r="A8" s="13">
        <v>44774</v>
      </c>
      <c r="C8">
        <f>_xlfn.FORECAST.ETS(A8,$B$2:$B$6,$A$2:$A$6,1,1)</f>
        <v>75648.820982024947</v>
      </c>
      <c r="D8" s="3">
        <f>C8-_xlfn.FORECAST.ETS.CONFINT(A8,$B$2:$B$6,$A$2:$A$6,0.95,1,1)</f>
        <v>67970.422854960983</v>
      </c>
      <c r="E8" s="3">
        <f>C8+_xlfn.FORECAST.ETS.CONFINT(A8,$B$2:$B$6,$A$2:$A$6,0.95,1,1)</f>
        <v>83327.21910908891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DD81D-5949-4333-A187-6AB2D07AFD73}">
  <sheetPr codeName="Feuil10"/>
  <dimension ref="A1:I18"/>
  <sheetViews>
    <sheetView workbookViewId="0">
      <selection activeCell="A16" sqref="A16:I18"/>
    </sheetView>
  </sheetViews>
  <sheetFormatPr baseColWidth="10" defaultRowHeight="14.5" x14ac:dyDescent="0.35"/>
  <cols>
    <col min="1" max="2" width="10.90625" customWidth="1"/>
  </cols>
  <sheetData>
    <row r="1" spans="1:9" x14ac:dyDescent="0.35">
      <c r="A1" t="s">
        <v>116</v>
      </c>
    </row>
    <row r="2" spans="1:9" ht="15" thickBot="1" x14ac:dyDescent="0.4"/>
    <row r="3" spans="1:9" x14ac:dyDescent="0.35">
      <c r="A3" s="75" t="s">
        <v>117</v>
      </c>
      <c r="B3" s="75"/>
    </row>
    <row r="4" spans="1:9" x14ac:dyDescent="0.35">
      <c r="A4" s="72" t="s">
        <v>118</v>
      </c>
      <c r="B4" s="72">
        <v>0.52685133705744003</v>
      </c>
    </row>
    <row r="5" spans="1:9" x14ac:dyDescent="0.35">
      <c r="A5" s="72" t="s">
        <v>119</v>
      </c>
      <c r="B5" s="72">
        <v>0.27757233135921228</v>
      </c>
    </row>
    <row r="6" spans="1:9" x14ac:dyDescent="0.35">
      <c r="A6" s="72" t="s">
        <v>119</v>
      </c>
      <c r="B6" s="72">
        <v>0.26282890955021665</v>
      </c>
    </row>
    <row r="7" spans="1:9" x14ac:dyDescent="0.35">
      <c r="A7" s="72" t="s">
        <v>120</v>
      </c>
      <c r="B7" s="72">
        <v>0.54167839758935565</v>
      </c>
    </row>
    <row r="8" spans="1:9" ht="15" thickBot="1" x14ac:dyDescent="0.4">
      <c r="A8" s="73" t="s">
        <v>121</v>
      </c>
      <c r="B8" s="73">
        <v>51</v>
      </c>
    </row>
    <row r="10" spans="1:9" ht="15" thickBot="1" x14ac:dyDescent="0.4">
      <c r="A10" t="s">
        <v>122</v>
      </c>
    </row>
    <row r="11" spans="1:9" x14ac:dyDescent="0.35">
      <c r="A11" s="74"/>
      <c r="B11" s="74" t="s">
        <v>127</v>
      </c>
      <c r="C11" s="74" t="s">
        <v>128</v>
      </c>
      <c r="D11" s="74" t="s">
        <v>129</v>
      </c>
      <c r="E11" s="74" t="s">
        <v>130</v>
      </c>
      <c r="F11" s="74" t="s">
        <v>131</v>
      </c>
    </row>
    <row r="12" spans="1:9" x14ac:dyDescent="0.35">
      <c r="A12" s="72" t="s">
        <v>123</v>
      </c>
      <c r="B12" s="72">
        <v>1</v>
      </c>
      <c r="C12" s="72">
        <v>5.5240921460585319</v>
      </c>
      <c r="D12" s="72">
        <v>5.5240921460585319</v>
      </c>
      <c r="E12" s="72">
        <v>18.826859527945679</v>
      </c>
      <c r="F12" s="72">
        <v>7.1360529200837402E-5</v>
      </c>
    </row>
    <row r="13" spans="1:9" x14ac:dyDescent="0.35">
      <c r="A13" s="72" t="s">
        <v>124</v>
      </c>
      <c r="B13" s="72">
        <v>49</v>
      </c>
      <c r="C13" s="72">
        <v>14.377358834333627</v>
      </c>
      <c r="D13" s="72">
        <v>0.293415486414972</v>
      </c>
      <c r="E13" s="72"/>
      <c r="F13" s="72"/>
    </row>
    <row r="14" spans="1:9" ht="15" thickBot="1" x14ac:dyDescent="0.4">
      <c r="A14" s="73" t="s">
        <v>125</v>
      </c>
      <c r="B14" s="73">
        <v>50</v>
      </c>
      <c r="C14" s="73">
        <v>19.901450980392159</v>
      </c>
      <c r="D14" s="73"/>
      <c r="E14" s="73"/>
      <c r="F14" s="73"/>
    </row>
    <row r="16" spans="1:9" x14ac:dyDescent="0.35">
      <c r="B16" t="s">
        <v>132</v>
      </c>
      <c r="C16" t="s">
        <v>120</v>
      </c>
      <c r="D16" t="s">
        <v>133</v>
      </c>
      <c r="E16" t="s">
        <v>134</v>
      </c>
      <c r="F16" t="s">
        <v>135</v>
      </c>
      <c r="G16" t="s">
        <v>136</v>
      </c>
      <c r="H16" t="s">
        <v>137</v>
      </c>
      <c r="I16" t="s">
        <v>138</v>
      </c>
    </row>
    <row r="17" spans="1:9" x14ac:dyDescent="0.35">
      <c r="A17" t="s">
        <v>126</v>
      </c>
      <c r="B17">
        <v>2.239013219899646</v>
      </c>
      <c r="C17">
        <v>0.11903090713860626</v>
      </c>
      <c r="D17">
        <v>18.810351644992618</v>
      </c>
      <c r="E17">
        <v>4.6339966405285772E-24</v>
      </c>
      <c r="F17">
        <v>1.999811656460873</v>
      </c>
      <c r="G17">
        <v>2.4782147833384189</v>
      </c>
      <c r="H17">
        <v>1.999811656460873</v>
      </c>
      <c r="I17">
        <v>2.4782147833384189</v>
      </c>
    </row>
    <row r="18" spans="1:9" x14ac:dyDescent="0.35">
      <c r="A18" t="s">
        <v>139</v>
      </c>
      <c r="B18">
        <v>-3.6693673791406595E-4</v>
      </c>
      <c r="C18">
        <v>8.4567259036824114E-5</v>
      </c>
      <c r="D18">
        <v>-4.3389929163281309</v>
      </c>
      <c r="E18">
        <v>7.1360529200836806E-5</v>
      </c>
      <c r="F18">
        <v>-5.3688100754636155E-4</v>
      </c>
      <c r="G18">
        <v>-1.9699246828177038E-4</v>
      </c>
      <c r="H18">
        <v>-5.3688100754636155E-4</v>
      </c>
      <c r="I18">
        <v>-1.9699246828177038E-4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83768-A083-4F22-91CC-A2F7E38FDCAF}">
  <sheetPr codeName="Feuil11"/>
  <dimension ref="A1:N133"/>
  <sheetViews>
    <sheetView topLeftCell="C33" zoomScale="70" zoomScaleNormal="70" workbookViewId="0">
      <selection activeCell="L44" sqref="L44"/>
    </sheetView>
  </sheetViews>
  <sheetFormatPr baseColWidth="10" defaultRowHeight="14.5" x14ac:dyDescent="0.35"/>
  <cols>
    <col min="1" max="1" width="19.54296875" bestFit="1" customWidth="1"/>
    <col min="2" max="2" width="21.1796875" bestFit="1" customWidth="1"/>
    <col min="3" max="3" width="23" bestFit="1" customWidth="1"/>
    <col min="6" max="6" width="26.81640625" customWidth="1"/>
    <col min="7" max="7" width="30.453125" customWidth="1"/>
    <col min="8" max="8" width="18.36328125" customWidth="1"/>
    <col min="15" max="15" width="26.7265625" customWidth="1"/>
  </cols>
  <sheetData>
    <row r="1" spans="1:8" x14ac:dyDescent="0.35">
      <c r="A1" s="44" t="s">
        <v>41</v>
      </c>
      <c r="B1" t="s">
        <v>83</v>
      </c>
    </row>
    <row r="2" spans="1:8" x14ac:dyDescent="0.35">
      <c r="A2" s="44" t="s">
        <v>42</v>
      </c>
      <c r="B2" t="s">
        <v>83</v>
      </c>
    </row>
    <row r="3" spans="1:8" x14ac:dyDescent="0.35">
      <c r="A3" s="44" t="s">
        <v>49</v>
      </c>
      <c r="B3" s="46">
        <v>44713</v>
      </c>
    </row>
    <row r="4" spans="1:8" x14ac:dyDescent="0.35">
      <c r="F4" s="71" t="s">
        <v>2</v>
      </c>
      <c r="G4" s="71"/>
      <c r="H4" s="71"/>
    </row>
    <row r="5" spans="1:8" x14ac:dyDescent="0.35">
      <c r="A5" s="44" t="s">
        <v>82</v>
      </c>
      <c r="B5" t="s">
        <v>104</v>
      </c>
      <c r="C5" t="s">
        <v>106</v>
      </c>
      <c r="F5" s="43" t="s">
        <v>82</v>
      </c>
      <c r="G5" s="43" t="s">
        <v>104</v>
      </c>
      <c r="H5" s="43" t="s">
        <v>106</v>
      </c>
    </row>
    <row r="6" spans="1:8" x14ac:dyDescent="0.35">
      <c r="A6" s="45">
        <v>1109</v>
      </c>
      <c r="B6" s="70">
        <v>1.84</v>
      </c>
      <c r="C6" s="70">
        <v>366</v>
      </c>
      <c r="F6" s="45">
        <v>1109</v>
      </c>
      <c r="G6" s="70">
        <v>1.84</v>
      </c>
      <c r="H6" s="70">
        <v>366</v>
      </c>
    </row>
    <row r="7" spans="1:8" x14ac:dyDescent="0.35">
      <c r="A7" s="45">
        <v>1116</v>
      </c>
      <c r="B7" s="70">
        <v>1.95</v>
      </c>
      <c r="C7" s="70">
        <v>755</v>
      </c>
      <c r="F7" s="45">
        <v>1116</v>
      </c>
      <c r="G7" s="70">
        <v>1.95</v>
      </c>
      <c r="H7" s="70">
        <v>755</v>
      </c>
    </row>
    <row r="8" spans="1:8" x14ac:dyDescent="0.35">
      <c r="A8" s="45">
        <v>1119</v>
      </c>
      <c r="B8" s="70">
        <v>1.48</v>
      </c>
      <c r="C8" s="70">
        <v>1733</v>
      </c>
      <c r="F8" s="45">
        <v>1119</v>
      </c>
      <c r="G8" s="70">
        <v>1.48</v>
      </c>
      <c r="H8" s="70">
        <v>1733</v>
      </c>
    </row>
    <row r="9" spans="1:8" x14ac:dyDescent="0.35">
      <c r="A9" s="45">
        <v>1122</v>
      </c>
      <c r="B9" s="70">
        <v>1.99</v>
      </c>
      <c r="C9" s="70">
        <v>717</v>
      </c>
      <c r="F9" s="45">
        <v>1122</v>
      </c>
      <c r="G9" s="70">
        <v>1.99</v>
      </c>
      <c r="H9" s="70">
        <v>717</v>
      </c>
    </row>
    <row r="10" spans="1:8" x14ac:dyDescent="0.35">
      <c r="A10" s="45">
        <v>1129</v>
      </c>
      <c r="B10" s="70">
        <v>1.27</v>
      </c>
      <c r="C10" s="70">
        <v>1939</v>
      </c>
      <c r="F10" s="45">
        <v>1129</v>
      </c>
      <c r="G10" s="70">
        <v>1.27</v>
      </c>
      <c r="H10" s="70">
        <v>1939</v>
      </c>
    </row>
    <row r="11" spans="1:8" x14ac:dyDescent="0.35">
      <c r="A11" s="45">
        <v>1132</v>
      </c>
      <c r="B11" s="70">
        <v>1.61</v>
      </c>
      <c r="C11" s="70">
        <v>414</v>
      </c>
      <c r="F11" s="45">
        <v>1132</v>
      </c>
      <c r="G11" s="70">
        <v>1.61</v>
      </c>
      <c r="H11" s="70">
        <v>414</v>
      </c>
    </row>
    <row r="12" spans="1:8" x14ac:dyDescent="0.35">
      <c r="A12" s="45">
        <v>1168</v>
      </c>
      <c r="B12" s="70">
        <v>1.43</v>
      </c>
      <c r="C12" s="70">
        <v>1219</v>
      </c>
      <c r="F12" s="45">
        <v>1168</v>
      </c>
      <c r="G12" s="70">
        <v>1.43</v>
      </c>
      <c r="H12" s="70">
        <v>1219</v>
      </c>
    </row>
    <row r="13" spans="1:8" x14ac:dyDescent="0.35">
      <c r="A13" s="45">
        <v>1170</v>
      </c>
      <c r="B13" s="70">
        <v>1.64</v>
      </c>
      <c r="C13" s="70">
        <v>1771</v>
      </c>
      <c r="F13" s="45">
        <v>1170</v>
      </c>
      <c r="G13" s="70">
        <v>1.64</v>
      </c>
      <c r="H13" s="70">
        <v>1771</v>
      </c>
    </row>
    <row r="14" spans="1:8" x14ac:dyDescent="0.35">
      <c r="A14" s="45">
        <v>1214</v>
      </c>
      <c r="B14" s="70">
        <v>1.1100000000000001</v>
      </c>
      <c r="C14" s="70">
        <v>3151</v>
      </c>
      <c r="F14" s="45">
        <v>1214</v>
      </c>
      <c r="G14" s="70">
        <v>1.1100000000000001</v>
      </c>
      <c r="H14" s="70">
        <v>3151</v>
      </c>
    </row>
    <row r="15" spans="1:8" x14ac:dyDescent="0.35">
      <c r="A15" s="45">
        <v>1217</v>
      </c>
      <c r="B15" s="70">
        <v>1.88</v>
      </c>
      <c r="C15" s="70">
        <v>1487</v>
      </c>
      <c r="F15" s="45">
        <v>1217</v>
      </c>
      <c r="G15" s="70">
        <v>1.88</v>
      </c>
      <c r="H15" s="70">
        <v>1487</v>
      </c>
    </row>
    <row r="16" spans="1:8" x14ac:dyDescent="0.35">
      <c r="A16" s="45">
        <v>1239</v>
      </c>
      <c r="B16" s="70">
        <v>1.1399999999999999</v>
      </c>
      <c r="C16" s="70">
        <v>1983</v>
      </c>
      <c r="F16" s="45">
        <v>1239</v>
      </c>
      <c r="G16" s="70">
        <v>1.1399999999999999</v>
      </c>
      <c r="H16" s="70">
        <v>1983</v>
      </c>
    </row>
    <row r="17" spans="1:8" x14ac:dyDescent="0.35">
      <c r="A17" s="45">
        <v>1277</v>
      </c>
      <c r="B17" s="70">
        <v>1.6</v>
      </c>
      <c r="C17" s="70">
        <v>348</v>
      </c>
      <c r="F17" s="45">
        <v>1277</v>
      </c>
      <c r="G17" s="70">
        <v>1.6</v>
      </c>
      <c r="H17" s="70">
        <v>348</v>
      </c>
    </row>
    <row r="18" spans="1:8" x14ac:dyDescent="0.35">
      <c r="A18" s="45">
        <v>1282</v>
      </c>
      <c r="B18" s="70">
        <v>1.5</v>
      </c>
      <c r="C18" s="70">
        <v>1357</v>
      </c>
      <c r="F18" s="45">
        <v>1282</v>
      </c>
      <c r="G18" s="70">
        <v>1.5</v>
      </c>
      <c r="H18" s="70">
        <v>1357</v>
      </c>
    </row>
    <row r="19" spans="1:8" x14ac:dyDescent="0.35">
      <c r="A19" s="45">
        <v>1305</v>
      </c>
      <c r="B19" s="70">
        <v>1.41</v>
      </c>
      <c r="C19" s="70">
        <v>1260</v>
      </c>
      <c r="F19" s="45">
        <v>1305</v>
      </c>
      <c r="G19" s="70">
        <v>1.41</v>
      </c>
      <c r="H19" s="70">
        <v>1260</v>
      </c>
    </row>
    <row r="20" spans="1:8" x14ac:dyDescent="0.35">
      <c r="A20" s="45">
        <v>1315</v>
      </c>
      <c r="B20" s="70">
        <v>1.39</v>
      </c>
      <c r="C20" s="70">
        <v>1117</v>
      </c>
      <c r="F20" s="45">
        <v>1315</v>
      </c>
      <c r="G20" s="70">
        <v>1.39</v>
      </c>
      <c r="H20" s="70">
        <v>1117</v>
      </c>
    </row>
    <row r="21" spans="1:8" x14ac:dyDescent="0.35">
      <c r="A21" s="45">
        <v>1317</v>
      </c>
      <c r="B21" s="70">
        <v>1.2</v>
      </c>
      <c r="C21" s="70">
        <v>1670</v>
      </c>
      <c r="F21" s="45">
        <v>1317</v>
      </c>
      <c r="G21" s="70">
        <v>1.2</v>
      </c>
      <c r="H21" s="70">
        <v>1670</v>
      </c>
    </row>
    <row r="22" spans="1:8" x14ac:dyDescent="0.35">
      <c r="A22" s="45">
        <v>1320</v>
      </c>
      <c r="B22" s="70">
        <v>1.93</v>
      </c>
      <c r="C22" s="70">
        <v>687</v>
      </c>
      <c r="F22" s="45">
        <v>1320</v>
      </c>
      <c r="G22" s="70">
        <v>1.93</v>
      </c>
      <c r="H22" s="70">
        <v>687</v>
      </c>
    </row>
    <row r="23" spans="1:8" x14ac:dyDescent="0.35">
      <c r="A23" s="45">
        <v>1444</v>
      </c>
      <c r="B23" s="70">
        <v>1.32</v>
      </c>
      <c r="C23" s="70">
        <v>1337</v>
      </c>
      <c r="F23" s="45">
        <v>1444</v>
      </c>
      <c r="G23" s="70">
        <v>1.32</v>
      </c>
      <c r="H23" s="70">
        <v>1337</v>
      </c>
    </row>
    <row r="24" spans="1:8" x14ac:dyDescent="0.35">
      <c r="A24" s="45">
        <v>1451</v>
      </c>
      <c r="B24" s="70">
        <v>1.58</v>
      </c>
      <c r="C24" s="70">
        <v>401</v>
      </c>
      <c r="F24" s="45">
        <v>1451</v>
      </c>
      <c r="G24" s="70">
        <v>1.58</v>
      </c>
      <c r="H24" s="70">
        <v>401</v>
      </c>
    </row>
    <row r="25" spans="1:8" x14ac:dyDescent="0.35">
      <c r="A25" s="45">
        <v>1489</v>
      </c>
      <c r="B25" s="70">
        <v>1.03</v>
      </c>
      <c r="C25" s="70">
        <v>3208</v>
      </c>
      <c r="F25" s="45">
        <v>1489</v>
      </c>
      <c r="G25" s="70">
        <v>1.03</v>
      </c>
      <c r="H25" s="70">
        <v>3208</v>
      </c>
    </row>
    <row r="26" spans="1:8" x14ac:dyDescent="0.35">
      <c r="A26" s="45">
        <v>1582</v>
      </c>
      <c r="B26" s="70">
        <v>1.01</v>
      </c>
      <c r="C26" s="70">
        <v>3210</v>
      </c>
      <c r="F26" s="45">
        <v>1582</v>
      </c>
      <c r="G26" s="70">
        <v>1.01</v>
      </c>
      <c r="H26" s="70">
        <v>3210</v>
      </c>
    </row>
    <row r="27" spans="1:8" x14ac:dyDescent="0.35">
      <c r="A27" s="45">
        <v>1738</v>
      </c>
      <c r="B27" s="70">
        <v>1.37</v>
      </c>
      <c r="C27" s="70">
        <v>922</v>
      </c>
      <c r="F27" s="45">
        <v>1738</v>
      </c>
      <c r="G27" s="70">
        <v>1.37</v>
      </c>
      <c r="H27" s="70">
        <v>922</v>
      </c>
    </row>
    <row r="28" spans="1:8" x14ac:dyDescent="0.35">
      <c r="A28" s="45">
        <v>1752</v>
      </c>
      <c r="B28" s="70">
        <v>0.92</v>
      </c>
      <c r="C28" s="70">
        <v>3089</v>
      </c>
      <c r="F28" s="45">
        <v>1752</v>
      </c>
      <c r="G28" s="70">
        <v>0.92</v>
      </c>
      <c r="H28" s="70">
        <v>3089</v>
      </c>
    </row>
    <row r="29" spans="1:8" x14ac:dyDescent="0.35">
      <c r="A29" s="45">
        <v>1759</v>
      </c>
      <c r="B29" s="70">
        <v>1.92</v>
      </c>
      <c r="C29" s="70">
        <v>1463</v>
      </c>
      <c r="F29" s="45">
        <v>1759</v>
      </c>
      <c r="G29" s="70">
        <v>1.92</v>
      </c>
      <c r="H29" s="70">
        <v>1463</v>
      </c>
    </row>
    <row r="30" spans="1:8" x14ac:dyDescent="0.35">
      <c r="A30" s="45">
        <v>1874</v>
      </c>
      <c r="B30" s="70">
        <v>1.35</v>
      </c>
      <c r="C30" s="70">
        <v>1734</v>
      </c>
      <c r="F30" s="45">
        <v>1874</v>
      </c>
      <c r="G30" s="70">
        <v>1.35</v>
      </c>
      <c r="H30" s="70">
        <v>1734</v>
      </c>
    </row>
    <row r="31" spans="1:8" x14ac:dyDescent="0.35">
      <c r="A31" s="45">
        <v>1894</v>
      </c>
      <c r="B31" s="70">
        <v>1.1299999999999999</v>
      </c>
      <c r="C31" s="70">
        <v>2874</v>
      </c>
      <c r="F31" s="45">
        <v>1894</v>
      </c>
      <c r="G31" s="70">
        <v>1.1299999999999999</v>
      </c>
      <c r="H31" s="70">
        <v>2874</v>
      </c>
    </row>
    <row r="32" spans="1:8" x14ac:dyDescent="0.35">
      <c r="A32" s="45">
        <v>1895</v>
      </c>
      <c r="B32" s="70">
        <v>1.17</v>
      </c>
      <c r="C32" s="70">
        <v>2134</v>
      </c>
      <c r="F32" s="45">
        <v>1895</v>
      </c>
      <c r="G32" s="70">
        <v>1.17</v>
      </c>
      <c r="H32" s="70">
        <v>2134</v>
      </c>
    </row>
    <row r="33" spans="1:12" x14ac:dyDescent="0.35">
      <c r="A33" s="45">
        <v>1930</v>
      </c>
      <c r="B33" s="70">
        <v>1.54</v>
      </c>
      <c r="C33" s="70">
        <v>293</v>
      </c>
      <c r="F33" s="45">
        <v>1930</v>
      </c>
      <c r="G33" s="70">
        <v>1.54</v>
      </c>
      <c r="H33" s="70">
        <v>293</v>
      </c>
    </row>
    <row r="34" spans="1:12" x14ac:dyDescent="0.35">
      <c r="A34" s="45">
        <v>1990</v>
      </c>
      <c r="B34" s="70">
        <v>1.6</v>
      </c>
      <c r="C34" s="70">
        <v>2394</v>
      </c>
      <c r="F34" s="45">
        <v>1990</v>
      </c>
      <c r="G34" s="70">
        <v>1.6</v>
      </c>
      <c r="H34" s="70">
        <v>2394</v>
      </c>
    </row>
    <row r="35" spans="1:12" x14ac:dyDescent="0.35">
      <c r="A35" s="45" t="s">
        <v>84</v>
      </c>
      <c r="B35" s="70">
        <v>42.310000000000016</v>
      </c>
      <c r="C35" s="70">
        <v>45033</v>
      </c>
      <c r="F35" s="45"/>
      <c r="G35" s="70"/>
      <c r="H35" s="70"/>
    </row>
    <row r="36" spans="1:12" x14ac:dyDescent="0.35">
      <c r="F36" s="45"/>
      <c r="G36" s="70"/>
      <c r="H36" s="70"/>
    </row>
    <row r="37" spans="1:12" x14ac:dyDescent="0.35">
      <c r="F37" t="s">
        <v>116</v>
      </c>
    </row>
    <row r="38" spans="1:12" ht="15" thickBot="1" x14ac:dyDescent="0.4"/>
    <row r="39" spans="1:12" x14ac:dyDescent="0.35">
      <c r="F39" s="75" t="s">
        <v>117</v>
      </c>
      <c r="G39" s="75"/>
      <c r="J39" s="76" t="s">
        <v>147</v>
      </c>
      <c r="K39" s="77" t="s">
        <v>148</v>
      </c>
    </row>
    <row r="40" spans="1:12" x14ac:dyDescent="0.35">
      <c r="F40" s="72" t="s">
        <v>118</v>
      </c>
      <c r="G40" s="72">
        <v>0.72794894572395019</v>
      </c>
      <c r="J40" s="17">
        <v>0.99</v>
      </c>
      <c r="K40" s="18">
        <f>(J40*$G$54)+$G$53</f>
        <v>2575.5177425211809</v>
      </c>
    </row>
    <row r="41" spans="1:12" x14ac:dyDescent="0.35">
      <c r="F41" s="72" t="s">
        <v>119</v>
      </c>
      <c r="G41" s="72">
        <v>0.52990966758061064</v>
      </c>
      <c r="J41" s="17">
        <v>1.99</v>
      </c>
      <c r="K41" s="18">
        <f t="shared" ref="K41:K42" si="0">(J41*$G$54)+$G$53</f>
        <v>394.8549092039575</v>
      </c>
    </row>
    <row r="42" spans="1:12" ht="15" thickBot="1" x14ac:dyDescent="0.4">
      <c r="F42" s="72" t="s">
        <v>119</v>
      </c>
      <c r="G42" s="72">
        <v>0.51249891452804064</v>
      </c>
      <c r="J42" s="19">
        <v>2.99</v>
      </c>
      <c r="K42" s="21">
        <f t="shared" si="0"/>
        <v>-1785.8079241132655</v>
      </c>
      <c r="L42">
        <v>0</v>
      </c>
    </row>
    <row r="43" spans="1:12" x14ac:dyDescent="0.35">
      <c r="F43" s="72" t="s">
        <v>120</v>
      </c>
      <c r="G43" s="72">
        <v>642.22552629290942</v>
      </c>
    </row>
    <row r="44" spans="1:12" ht="15" thickBot="1" x14ac:dyDescent="0.4">
      <c r="F44" s="73" t="s">
        <v>121</v>
      </c>
      <c r="G44" s="73">
        <v>29</v>
      </c>
    </row>
    <row r="46" spans="1:12" ht="15" thickBot="1" x14ac:dyDescent="0.4">
      <c r="F46" t="s">
        <v>122</v>
      </c>
    </row>
    <row r="47" spans="1:12" x14ac:dyDescent="0.35">
      <c r="F47" s="74"/>
      <c r="G47" s="74" t="s">
        <v>127</v>
      </c>
      <c r="H47" s="74" t="s">
        <v>128</v>
      </c>
      <c r="I47" s="74" t="s">
        <v>129</v>
      </c>
      <c r="J47" s="74" t="s">
        <v>130</v>
      </c>
      <c r="K47" s="74" t="s">
        <v>131</v>
      </c>
    </row>
    <row r="48" spans="1:12" x14ac:dyDescent="0.35">
      <c r="F48" s="72" t="s">
        <v>123</v>
      </c>
      <c r="G48" s="72">
        <v>1</v>
      </c>
      <c r="H48" s="72">
        <v>12553343.529476341</v>
      </c>
      <c r="I48" s="72">
        <v>12553343.529476341</v>
      </c>
      <c r="J48" s="72">
        <v>30.435769548887581</v>
      </c>
      <c r="K48" s="72">
        <v>7.623115547686098E-6</v>
      </c>
    </row>
    <row r="49" spans="6:14" x14ac:dyDescent="0.35">
      <c r="F49" s="72" t="s">
        <v>124</v>
      </c>
      <c r="G49" s="72">
        <v>27</v>
      </c>
      <c r="H49" s="72">
        <v>11136247.918799523</v>
      </c>
      <c r="I49" s="72">
        <v>412453.62662220455</v>
      </c>
      <c r="J49" s="72"/>
      <c r="K49" s="72"/>
    </row>
    <row r="50" spans="6:14" ht="15" thickBot="1" x14ac:dyDescent="0.4">
      <c r="F50" s="73" t="s">
        <v>125</v>
      </c>
      <c r="G50" s="73">
        <v>28</v>
      </c>
      <c r="H50" s="73">
        <v>23689591.448275864</v>
      </c>
      <c r="I50" s="73"/>
      <c r="J50" s="73"/>
      <c r="K50" s="73"/>
    </row>
    <row r="51" spans="6:14" ht="15" thickBot="1" x14ac:dyDescent="0.4"/>
    <row r="52" spans="6:14" x14ac:dyDescent="0.35">
      <c r="F52" s="74"/>
      <c r="G52" s="74" t="s">
        <v>132</v>
      </c>
      <c r="H52" s="74" t="s">
        <v>120</v>
      </c>
      <c r="I52" s="74" t="s">
        <v>133</v>
      </c>
      <c r="J52" s="74" t="s">
        <v>134</v>
      </c>
      <c r="K52" s="74" t="s">
        <v>135</v>
      </c>
      <c r="L52" s="74" t="s">
        <v>136</v>
      </c>
      <c r="M52" s="74" t="s">
        <v>137</v>
      </c>
      <c r="N52" s="74" t="s">
        <v>138</v>
      </c>
    </row>
    <row r="53" spans="6:14" x14ac:dyDescent="0.35">
      <c r="F53" s="72" t="s">
        <v>126</v>
      </c>
      <c r="G53" s="72">
        <v>4734.3739475052316</v>
      </c>
      <c r="H53" s="72">
        <v>588.89077103895738</v>
      </c>
      <c r="I53" s="72">
        <v>8.039477234721403</v>
      </c>
      <c r="J53" s="72">
        <v>1.2236978297152881E-8</v>
      </c>
      <c r="K53" s="72">
        <v>3526.0698926138939</v>
      </c>
      <c r="L53" s="72">
        <v>5942.6780023965694</v>
      </c>
      <c r="M53" s="72">
        <v>3526.0698926138939</v>
      </c>
      <c r="N53" s="72">
        <v>5942.6780023965694</v>
      </c>
    </row>
    <row r="54" spans="6:14" ht="15" thickBot="1" x14ac:dyDescent="0.4">
      <c r="F54" s="73" t="s">
        <v>139</v>
      </c>
      <c r="G54" s="73">
        <v>-2180.662833317223</v>
      </c>
      <c r="H54" s="73">
        <v>395.27229753034464</v>
      </c>
      <c r="I54" s="73">
        <v>-5.5168622919996455</v>
      </c>
      <c r="J54" s="73">
        <v>7.623115547686098E-6</v>
      </c>
      <c r="K54" s="73">
        <v>-2991.6945957092594</v>
      </c>
      <c r="L54" s="73">
        <v>-1369.6310709251866</v>
      </c>
      <c r="M54" s="73">
        <v>-2991.6945957092594</v>
      </c>
      <c r="N54" s="73">
        <v>-1369.6310709251866</v>
      </c>
    </row>
    <row r="58" spans="6:14" x14ac:dyDescent="0.35">
      <c r="F58" t="s">
        <v>140</v>
      </c>
      <c r="K58" t="s">
        <v>144</v>
      </c>
    </row>
    <row r="59" spans="6:14" ht="15" thickBot="1" x14ac:dyDescent="0.4"/>
    <row r="60" spans="6:14" x14ac:dyDescent="0.35">
      <c r="F60" s="74" t="s">
        <v>141</v>
      </c>
      <c r="G60" s="74" t="s">
        <v>142</v>
      </c>
      <c r="H60" s="74" t="s">
        <v>124</v>
      </c>
      <c r="I60" s="74" t="s">
        <v>143</v>
      </c>
      <c r="K60" s="74" t="s">
        <v>145</v>
      </c>
      <c r="L60" s="74" t="s">
        <v>146</v>
      </c>
    </row>
    <row r="61" spans="6:14" x14ac:dyDescent="0.35">
      <c r="F61" s="72">
        <v>1</v>
      </c>
      <c r="G61" s="72">
        <v>721.95433420154131</v>
      </c>
      <c r="H61" s="72">
        <v>-355.95433420154131</v>
      </c>
      <c r="I61" s="72">
        <v>-0.56442189910790219</v>
      </c>
      <c r="K61" s="72">
        <v>1.7241379310344827</v>
      </c>
      <c r="L61" s="72">
        <v>293</v>
      </c>
    </row>
    <row r="62" spans="6:14" x14ac:dyDescent="0.35">
      <c r="F62" s="72">
        <v>2</v>
      </c>
      <c r="G62" s="72">
        <v>482.08142253664664</v>
      </c>
      <c r="H62" s="72">
        <v>272.91857746335336</v>
      </c>
      <c r="I62" s="72">
        <v>0.4327555728159076</v>
      </c>
      <c r="K62" s="72">
        <v>5.1724137931034484</v>
      </c>
      <c r="L62" s="72">
        <v>348</v>
      </c>
    </row>
    <row r="63" spans="6:14" x14ac:dyDescent="0.35">
      <c r="F63" s="72">
        <v>3</v>
      </c>
      <c r="G63" s="72">
        <v>1506.9929541957417</v>
      </c>
      <c r="H63" s="72">
        <v>226.00704580425827</v>
      </c>
      <c r="I63" s="72">
        <v>0.35836991925031525</v>
      </c>
      <c r="K63" s="72">
        <v>8.6206896551724128</v>
      </c>
      <c r="L63" s="72">
        <v>366</v>
      </c>
    </row>
    <row r="64" spans="6:14" x14ac:dyDescent="0.35">
      <c r="F64" s="72">
        <v>4</v>
      </c>
      <c r="G64" s="72">
        <v>394.8549092039575</v>
      </c>
      <c r="H64" s="72">
        <v>322.1450907960425</v>
      </c>
      <c r="I64" s="72">
        <v>0.51081199599171101</v>
      </c>
      <c r="K64" s="72">
        <v>12.068965517241379</v>
      </c>
      <c r="L64" s="72">
        <v>401</v>
      </c>
    </row>
    <row r="65" spans="6:12" x14ac:dyDescent="0.35">
      <c r="F65" s="72">
        <v>5</v>
      </c>
      <c r="G65" s="72">
        <v>1964.9321491923583</v>
      </c>
      <c r="H65" s="72">
        <v>-25.932149192358338</v>
      </c>
      <c r="I65" s="72">
        <v>-4.1119524300589252E-2</v>
      </c>
      <c r="K65" s="72">
        <v>15.517241379310343</v>
      </c>
      <c r="L65" s="72">
        <v>414</v>
      </c>
    </row>
    <row r="66" spans="6:12" x14ac:dyDescent="0.35">
      <c r="F66" s="72">
        <v>6</v>
      </c>
      <c r="G66" s="72">
        <v>1223.5067858645025</v>
      </c>
      <c r="H66" s="72">
        <v>-809.50678586450249</v>
      </c>
      <c r="I66" s="72">
        <v>-1.2836010508013025</v>
      </c>
      <c r="K66" s="72">
        <v>18.96551724137931</v>
      </c>
      <c r="L66" s="72">
        <v>687</v>
      </c>
    </row>
    <row r="67" spans="6:12" x14ac:dyDescent="0.35">
      <c r="F67" s="72">
        <v>7</v>
      </c>
      <c r="G67" s="72">
        <v>1616.0260958616027</v>
      </c>
      <c r="H67" s="72">
        <v>-397.0260958616027</v>
      </c>
      <c r="I67" s="72">
        <v>-0.62954767364827746</v>
      </c>
      <c r="K67" s="72">
        <v>22.413793103448278</v>
      </c>
      <c r="L67" s="72">
        <v>717</v>
      </c>
    </row>
    <row r="68" spans="6:12" x14ac:dyDescent="0.35">
      <c r="F68" s="72">
        <v>8</v>
      </c>
      <c r="G68" s="72">
        <v>1158.0869008649861</v>
      </c>
      <c r="H68" s="72">
        <v>612.91309913501391</v>
      </c>
      <c r="I68" s="72">
        <v>0.97187066475224426</v>
      </c>
      <c r="K68" s="72">
        <v>25.862068965517242</v>
      </c>
      <c r="L68" s="72">
        <v>755</v>
      </c>
    </row>
    <row r="69" spans="6:12" x14ac:dyDescent="0.35">
      <c r="F69" s="72">
        <v>9</v>
      </c>
      <c r="G69" s="72">
        <v>2313.838202523114</v>
      </c>
      <c r="H69" s="72">
        <v>837.16179747688602</v>
      </c>
      <c r="I69" s="72">
        <v>1.3274524459785129</v>
      </c>
      <c r="K69" s="72">
        <v>29.310344827586206</v>
      </c>
      <c r="L69" s="72">
        <v>922</v>
      </c>
    </row>
    <row r="70" spans="6:12" x14ac:dyDescent="0.35">
      <c r="F70" s="72">
        <v>10</v>
      </c>
      <c r="G70" s="72">
        <v>634.72782086885309</v>
      </c>
      <c r="H70" s="72">
        <v>852.27217913114691</v>
      </c>
      <c r="I70" s="72">
        <v>1.3514123461400718</v>
      </c>
      <c r="K70" s="72">
        <v>32.758620689655167</v>
      </c>
      <c r="L70" s="72">
        <v>1117</v>
      </c>
    </row>
    <row r="71" spans="6:12" x14ac:dyDescent="0.35">
      <c r="F71" s="72">
        <v>11</v>
      </c>
      <c r="G71" s="72">
        <v>2248.4183175235976</v>
      </c>
      <c r="H71" s="72">
        <v>-265.41831752359758</v>
      </c>
      <c r="I71" s="72">
        <v>-0.42086272434562327</v>
      </c>
      <c r="K71" s="72">
        <v>36.206896551724135</v>
      </c>
      <c r="L71" s="72">
        <v>1219</v>
      </c>
    </row>
    <row r="72" spans="6:12" x14ac:dyDescent="0.35">
      <c r="F72" s="72">
        <v>12</v>
      </c>
      <c r="G72" s="72">
        <v>1245.3134141976748</v>
      </c>
      <c r="H72" s="72">
        <v>-897.31341419767477</v>
      </c>
      <c r="I72" s="72">
        <v>-1.4228323486284276</v>
      </c>
      <c r="K72" s="72">
        <v>39.655172413793103</v>
      </c>
      <c r="L72" s="72">
        <v>1260</v>
      </c>
    </row>
    <row r="73" spans="6:12" x14ac:dyDescent="0.35">
      <c r="F73" s="72">
        <v>13</v>
      </c>
      <c r="G73" s="72">
        <v>1463.3796975293972</v>
      </c>
      <c r="H73" s="72">
        <v>-106.37969752939716</v>
      </c>
      <c r="I73" s="72">
        <v>-0.16868183678884549</v>
      </c>
      <c r="K73" s="72">
        <v>43.103448275862071</v>
      </c>
      <c r="L73" s="72">
        <v>1337</v>
      </c>
    </row>
    <row r="74" spans="6:12" x14ac:dyDescent="0.35">
      <c r="F74" s="72">
        <v>14</v>
      </c>
      <c r="G74" s="72">
        <v>1659.6393525279473</v>
      </c>
      <c r="H74" s="72">
        <v>-399.63935252794727</v>
      </c>
      <c r="I74" s="72">
        <v>-0.63369140543843305</v>
      </c>
      <c r="K74" s="72">
        <v>46.551724137931032</v>
      </c>
      <c r="L74" s="72">
        <v>1357</v>
      </c>
    </row>
    <row r="75" spans="6:12" x14ac:dyDescent="0.35">
      <c r="F75" s="72">
        <v>15</v>
      </c>
      <c r="G75" s="72">
        <v>1703.2526091942918</v>
      </c>
      <c r="H75" s="72">
        <v>-586.25260919429184</v>
      </c>
      <c r="I75" s="72">
        <v>-0.92959624099155636</v>
      </c>
      <c r="K75" s="72">
        <v>50</v>
      </c>
      <c r="L75" s="72">
        <v>1463</v>
      </c>
    </row>
    <row r="76" spans="6:12" x14ac:dyDescent="0.35">
      <c r="F76" s="72">
        <v>16</v>
      </c>
      <c r="G76" s="72">
        <v>2117.5785475245643</v>
      </c>
      <c r="H76" s="72">
        <v>-447.57854752456433</v>
      </c>
      <c r="I76" s="72">
        <v>-0.70970658177387402</v>
      </c>
      <c r="K76" s="72">
        <v>53.448275862068961</v>
      </c>
      <c r="L76" s="72">
        <v>1487</v>
      </c>
    </row>
    <row r="77" spans="6:12" x14ac:dyDescent="0.35">
      <c r="F77" s="72">
        <v>17</v>
      </c>
      <c r="G77" s="72">
        <v>525.69467920299121</v>
      </c>
      <c r="H77" s="72">
        <v>161.30532079700879</v>
      </c>
      <c r="I77" s="72">
        <v>0.25577510020964611</v>
      </c>
      <c r="K77" s="72">
        <v>56.896551724137929</v>
      </c>
      <c r="L77" s="72">
        <v>1670</v>
      </c>
    </row>
    <row r="78" spans="6:12" x14ac:dyDescent="0.35">
      <c r="F78" s="72">
        <v>18</v>
      </c>
      <c r="G78" s="72">
        <v>1855.8990075264974</v>
      </c>
      <c r="H78" s="72">
        <v>-518.89900752649737</v>
      </c>
      <c r="I78" s="72">
        <v>-0.82279645205130103</v>
      </c>
      <c r="K78" s="72">
        <v>60.344827586206897</v>
      </c>
      <c r="L78" s="72">
        <v>1733</v>
      </c>
    </row>
    <row r="79" spans="6:12" x14ac:dyDescent="0.35">
      <c r="F79" s="72">
        <v>19</v>
      </c>
      <c r="G79" s="72">
        <v>1288.9266708640193</v>
      </c>
      <c r="H79" s="72">
        <v>-887.92667086401934</v>
      </c>
      <c r="I79" s="72">
        <v>-1.4079481823470852</v>
      </c>
      <c r="K79" s="72">
        <v>63.793103448275858</v>
      </c>
      <c r="L79" s="72">
        <v>1734</v>
      </c>
    </row>
    <row r="80" spans="6:12" x14ac:dyDescent="0.35">
      <c r="F80" s="72">
        <v>20</v>
      </c>
      <c r="G80" s="72">
        <v>2488.2912291884918</v>
      </c>
      <c r="H80" s="72">
        <v>719.7087708115082</v>
      </c>
      <c r="I80" s="72">
        <v>1.141212094347035</v>
      </c>
      <c r="K80" s="72">
        <v>67.241379310344811</v>
      </c>
      <c r="L80" s="72">
        <v>1771</v>
      </c>
    </row>
    <row r="81" spans="6:12" x14ac:dyDescent="0.35">
      <c r="F81" s="72">
        <v>21</v>
      </c>
      <c r="G81" s="72">
        <v>2531.9044858548364</v>
      </c>
      <c r="H81" s="72">
        <v>678.09551414516363</v>
      </c>
      <c r="I81" s="72">
        <v>1.0752276938245113</v>
      </c>
      <c r="K81" s="72">
        <v>70.689655172413779</v>
      </c>
      <c r="L81" s="72">
        <v>1939</v>
      </c>
    </row>
    <row r="82" spans="6:12" x14ac:dyDescent="0.35">
      <c r="F82" s="72">
        <v>22</v>
      </c>
      <c r="G82" s="72">
        <v>1746.8658658606359</v>
      </c>
      <c r="H82" s="72">
        <v>-824.86586586063595</v>
      </c>
      <c r="I82" s="72">
        <v>-1.30795530152117</v>
      </c>
      <c r="K82" s="72">
        <v>74.137931034482747</v>
      </c>
      <c r="L82" s="72">
        <v>1983</v>
      </c>
    </row>
    <row r="83" spans="6:12" x14ac:dyDescent="0.35">
      <c r="F83" s="72">
        <v>23</v>
      </c>
      <c r="G83" s="72">
        <v>2728.1641408533865</v>
      </c>
      <c r="H83" s="72">
        <v>360.83585914661353</v>
      </c>
      <c r="I83" s="72">
        <v>0.57216232903192787</v>
      </c>
      <c r="K83" s="72">
        <v>77.586206896551715</v>
      </c>
      <c r="L83" s="72">
        <v>2134</v>
      </c>
    </row>
    <row r="84" spans="6:12" x14ac:dyDescent="0.35">
      <c r="F84" s="72">
        <v>24</v>
      </c>
      <c r="G84" s="72">
        <v>547.50130753616395</v>
      </c>
      <c r="H84" s="72">
        <v>915.49869246383605</v>
      </c>
      <c r="I84" s="72">
        <v>1.4516679837326227</v>
      </c>
      <c r="K84" s="72">
        <v>81.034482758620683</v>
      </c>
      <c r="L84" s="72">
        <v>2394</v>
      </c>
    </row>
    <row r="85" spans="6:12" x14ac:dyDescent="0.35">
      <c r="F85" s="72">
        <v>25</v>
      </c>
      <c r="G85" s="72">
        <v>1790.4791225269805</v>
      </c>
      <c r="H85" s="72">
        <v>-56.479122526980518</v>
      </c>
      <c r="I85" s="72">
        <v>-8.9556582217585515E-2</v>
      </c>
      <c r="K85" s="72">
        <v>84.482758620689651</v>
      </c>
      <c r="L85" s="72">
        <v>2874</v>
      </c>
    </row>
    <row r="86" spans="6:12" x14ac:dyDescent="0.35">
      <c r="F86" s="72">
        <v>26</v>
      </c>
      <c r="G86" s="72">
        <v>2270.2249458567699</v>
      </c>
      <c r="H86" s="72">
        <v>603.77505414323014</v>
      </c>
      <c r="I86" s="72">
        <v>0.95738084902920895</v>
      </c>
      <c r="K86" s="72">
        <v>87.931034482758605</v>
      </c>
      <c r="L86" s="72">
        <v>3089</v>
      </c>
    </row>
    <row r="87" spans="6:12" x14ac:dyDescent="0.35">
      <c r="F87" s="72">
        <v>27</v>
      </c>
      <c r="G87" s="72">
        <v>2182.9984325240807</v>
      </c>
      <c r="H87" s="72">
        <v>-48.998432524080727</v>
      </c>
      <c r="I87" s="72">
        <v>-7.7694764977614628E-2</v>
      </c>
      <c r="K87" s="72">
        <v>91.379310344827573</v>
      </c>
      <c r="L87" s="72">
        <v>3151</v>
      </c>
    </row>
    <row r="88" spans="6:12" x14ac:dyDescent="0.35">
      <c r="F88" s="72">
        <v>28</v>
      </c>
      <c r="G88" s="72">
        <v>1376.153184196708</v>
      </c>
      <c r="H88" s="72">
        <v>-1083.153184196708</v>
      </c>
      <c r="I88" s="72">
        <v>-1.7175106987261124</v>
      </c>
      <c r="K88" s="72">
        <v>94.827586206896541</v>
      </c>
      <c r="L88" s="72">
        <v>3208</v>
      </c>
    </row>
    <row r="89" spans="6:12" ht="15" thickBot="1" x14ac:dyDescent="0.4">
      <c r="F89" s="73">
        <v>29</v>
      </c>
      <c r="G89" s="73">
        <v>1245.3134141976748</v>
      </c>
      <c r="H89" s="73">
        <v>1148.6865858023252</v>
      </c>
      <c r="I89" s="73">
        <v>1.821424272561964</v>
      </c>
      <c r="K89" s="73">
        <v>98.275862068965509</v>
      </c>
      <c r="L89" s="73">
        <v>3210</v>
      </c>
    </row>
    <row r="90" spans="6:12" x14ac:dyDescent="0.35">
      <c r="F90" s="72"/>
      <c r="G90" s="72"/>
      <c r="H90" s="72"/>
      <c r="I90" s="72"/>
      <c r="K90" s="72"/>
      <c r="L90" s="72"/>
    </row>
    <row r="91" spans="6:12" x14ac:dyDescent="0.35">
      <c r="F91" s="72"/>
      <c r="G91" s="72"/>
      <c r="H91" s="72"/>
      <c r="I91" s="72"/>
      <c r="K91" s="72"/>
      <c r="L91" s="72"/>
    </row>
    <row r="92" spans="6:12" x14ac:dyDescent="0.35">
      <c r="F92" s="72"/>
      <c r="G92" s="72"/>
      <c r="H92" s="72"/>
      <c r="I92" s="72"/>
      <c r="K92" s="72"/>
      <c r="L92" s="72"/>
    </row>
    <row r="93" spans="6:12" x14ac:dyDescent="0.35">
      <c r="F93" s="72"/>
      <c r="G93" s="72"/>
      <c r="H93" s="72"/>
      <c r="I93" s="72"/>
      <c r="K93" s="72"/>
      <c r="L93" s="72"/>
    </row>
    <row r="94" spans="6:12" x14ac:dyDescent="0.35">
      <c r="F94" s="72"/>
      <c r="G94" s="72"/>
      <c r="H94" s="72"/>
      <c r="I94" s="72"/>
      <c r="K94" s="72"/>
      <c r="L94" s="72"/>
    </row>
    <row r="95" spans="6:12" x14ac:dyDescent="0.35">
      <c r="F95" s="72"/>
      <c r="G95" s="72"/>
      <c r="H95" s="72"/>
      <c r="I95" s="72"/>
      <c r="K95" s="72"/>
      <c r="L95" s="72"/>
    </row>
    <row r="96" spans="6:12" x14ac:dyDescent="0.35">
      <c r="F96" s="72"/>
      <c r="G96" s="72"/>
      <c r="H96" s="72"/>
      <c r="I96" s="72"/>
      <c r="K96" s="72"/>
      <c r="L96" s="72"/>
    </row>
    <row r="97" spans="6:12" x14ac:dyDescent="0.35">
      <c r="F97" s="72"/>
      <c r="G97" s="72"/>
      <c r="H97" s="72"/>
      <c r="I97" s="72"/>
      <c r="K97" s="72"/>
      <c r="L97" s="72"/>
    </row>
    <row r="98" spans="6:12" x14ac:dyDescent="0.35">
      <c r="F98" s="72"/>
      <c r="G98" s="72"/>
      <c r="H98" s="72"/>
      <c r="I98" s="72"/>
      <c r="K98" s="72"/>
      <c r="L98" s="72"/>
    </row>
    <row r="99" spans="6:12" x14ac:dyDescent="0.35">
      <c r="F99" s="72"/>
      <c r="G99" s="72"/>
      <c r="H99" s="72"/>
      <c r="I99" s="72"/>
      <c r="K99" s="72"/>
      <c r="L99" s="72"/>
    </row>
    <row r="100" spans="6:12" x14ac:dyDescent="0.35">
      <c r="F100" s="72"/>
      <c r="G100" s="72"/>
      <c r="H100" s="72"/>
      <c r="I100" s="72"/>
      <c r="K100" s="72"/>
      <c r="L100" s="72"/>
    </row>
    <row r="101" spans="6:12" x14ac:dyDescent="0.35">
      <c r="F101" s="72"/>
      <c r="G101" s="72"/>
      <c r="H101" s="72"/>
      <c r="I101" s="72"/>
      <c r="K101" s="72"/>
      <c r="L101" s="72"/>
    </row>
    <row r="102" spans="6:12" x14ac:dyDescent="0.35">
      <c r="F102" s="72"/>
      <c r="G102" s="72"/>
      <c r="H102" s="72"/>
      <c r="I102" s="72"/>
      <c r="K102" s="72"/>
      <c r="L102" s="72"/>
    </row>
    <row r="103" spans="6:12" x14ac:dyDescent="0.35">
      <c r="F103" s="72"/>
      <c r="G103" s="72"/>
      <c r="H103" s="72"/>
      <c r="I103" s="72"/>
      <c r="K103" s="72"/>
      <c r="L103" s="72"/>
    </row>
    <row r="104" spans="6:12" x14ac:dyDescent="0.35">
      <c r="F104" s="72"/>
      <c r="G104" s="72"/>
      <c r="H104" s="72"/>
      <c r="I104" s="72"/>
      <c r="K104" s="72"/>
      <c r="L104" s="72"/>
    </row>
    <row r="105" spans="6:12" x14ac:dyDescent="0.35">
      <c r="F105" s="72"/>
      <c r="G105" s="72"/>
      <c r="H105" s="72"/>
      <c r="I105" s="72"/>
      <c r="K105" s="72"/>
      <c r="L105" s="72"/>
    </row>
    <row r="106" spans="6:12" x14ac:dyDescent="0.35">
      <c r="F106" s="72"/>
      <c r="G106" s="72"/>
      <c r="H106" s="72"/>
      <c r="I106" s="72"/>
      <c r="K106" s="72"/>
      <c r="L106" s="72"/>
    </row>
    <row r="107" spans="6:12" x14ac:dyDescent="0.35">
      <c r="F107" s="72"/>
      <c r="G107" s="72"/>
      <c r="H107" s="72"/>
      <c r="I107" s="72"/>
      <c r="K107" s="72"/>
      <c r="L107" s="72"/>
    </row>
    <row r="108" spans="6:12" x14ac:dyDescent="0.35">
      <c r="F108" s="72"/>
      <c r="G108" s="72"/>
      <c r="H108" s="72"/>
      <c r="I108" s="72"/>
      <c r="K108" s="72"/>
      <c r="L108" s="72"/>
    </row>
    <row r="109" spans="6:12" x14ac:dyDescent="0.35">
      <c r="F109" s="72"/>
      <c r="G109" s="72"/>
      <c r="H109" s="72"/>
      <c r="I109" s="72"/>
      <c r="K109" s="72"/>
      <c r="L109" s="72"/>
    </row>
    <row r="110" spans="6:12" x14ac:dyDescent="0.35">
      <c r="F110" s="72"/>
      <c r="G110" s="72"/>
      <c r="H110" s="72"/>
      <c r="I110" s="72"/>
      <c r="K110" s="72"/>
      <c r="L110" s="72"/>
    </row>
    <row r="111" spans="6:12" x14ac:dyDescent="0.35">
      <c r="F111" s="72"/>
      <c r="G111" s="72"/>
      <c r="H111" s="72"/>
      <c r="I111" s="72"/>
      <c r="K111" s="72"/>
      <c r="L111" s="72"/>
    </row>
    <row r="112" spans="6:12" x14ac:dyDescent="0.35">
      <c r="F112" s="72"/>
      <c r="G112" s="72"/>
      <c r="H112" s="72"/>
      <c r="I112" s="72"/>
      <c r="K112" s="72"/>
      <c r="L112" s="72"/>
    </row>
    <row r="113" spans="6:12" x14ac:dyDescent="0.35">
      <c r="F113" s="72"/>
      <c r="G113" s="72"/>
      <c r="H113" s="72"/>
      <c r="I113" s="72"/>
      <c r="K113" s="72"/>
      <c r="L113" s="72"/>
    </row>
    <row r="114" spans="6:12" x14ac:dyDescent="0.35">
      <c r="F114" s="72"/>
      <c r="G114" s="72"/>
      <c r="H114" s="72"/>
      <c r="I114" s="72"/>
      <c r="K114" s="72"/>
      <c r="L114" s="72"/>
    </row>
    <row r="115" spans="6:12" x14ac:dyDescent="0.35">
      <c r="F115" s="72"/>
      <c r="G115" s="72"/>
      <c r="H115" s="72"/>
      <c r="I115" s="72"/>
      <c r="K115" s="72"/>
      <c r="L115" s="72"/>
    </row>
    <row r="116" spans="6:12" x14ac:dyDescent="0.35">
      <c r="F116" s="72"/>
      <c r="G116" s="72"/>
      <c r="H116" s="72"/>
      <c r="I116" s="72"/>
      <c r="K116" s="72"/>
      <c r="L116" s="72"/>
    </row>
    <row r="117" spans="6:12" x14ac:dyDescent="0.35">
      <c r="F117" s="72"/>
      <c r="G117" s="72"/>
      <c r="H117" s="72"/>
      <c r="I117" s="72"/>
      <c r="K117" s="72"/>
      <c r="L117" s="72"/>
    </row>
    <row r="118" spans="6:12" x14ac:dyDescent="0.35">
      <c r="F118" s="72"/>
      <c r="G118" s="72"/>
      <c r="H118" s="72"/>
      <c r="I118" s="72"/>
      <c r="K118" s="72"/>
      <c r="L118" s="72"/>
    </row>
    <row r="119" spans="6:12" x14ac:dyDescent="0.35">
      <c r="F119" s="72"/>
      <c r="G119" s="72"/>
      <c r="H119" s="72"/>
      <c r="I119" s="72"/>
      <c r="K119" s="72"/>
      <c r="L119" s="72"/>
    </row>
    <row r="120" spans="6:12" x14ac:dyDescent="0.35">
      <c r="F120" s="72"/>
      <c r="G120" s="72"/>
      <c r="H120" s="72"/>
      <c r="I120" s="72"/>
      <c r="K120" s="72"/>
      <c r="L120" s="72"/>
    </row>
    <row r="121" spans="6:12" x14ac:dyDescent="0.35">
      <c r="F121" s="72"/>
      <c r="G121" s="72"/>
      <c r="H121" s="72"/>
      <c r="I121" s="72"/>
      <c r="K121" s="72"/>
      <c r="L121" s="72"/>
    </row>
    <row r="122" spans="6:12" x14ac:dyDescent="0.35">
      <c r="F122" s="72"/>
      <c r="G122" s="72"/>
      <c r="H122" s="72"/>
      <c r="I122" s="72"/>
      <c r="K122" s="72"/>
      <c r="L122" s="72"/>
    </row>
    <row r="123" spans="6:12" x14ac:dyDescent="0.35">
      <c r="F123" s="72"/>
      <c r="G123" s="72"/>
      <c r="H123" s="72"/>
      <c r="I123" s="72"/>
      <c r="K123" s="72"/>
      <c r="L123" s="72"/>
    </row>
    <row r="124" spans="6:12" x14ac:dyDescent="0.35">
      <c r="F124" s="72"/>
      <c r="G124" s="72"/>
      <c r="H124" s="72"/>
      <c r="I124" s="72"/>
      <c r="K124" s="72"/>
      <c r="L124" s="72"/>
    </row>
    <row r="125" spans="6:12" x14ac:dyDescent="0.35">
      <c r="F125" s="72"/>
      <c r="G125" s="72"/>
      <c r="H125" s="72"/>
      <c r="I125" s="72"/>
      <c r="K125" s="72"/>
      <c r="L125" s="72"/>
    </row>
    <row r="126" spans="6:12" x14ac:dyDescent="0.35">
      <c r="F126" s="72"/>
      <c r="G126" s="72"/>
      <c r="H126" s="72"/>
      <c r="I126" s="72"/>
      <c r="K126" s="72"/>
      <c r="L126" s="72"/>
    </row>
    <row r="127" spans="6:12" x14ac:dyDescent="0.35">
      <c r="F127" s="72"/>
      <c r="G127" s="72"/>
      <c r="H127" s="72"/>
      <c r="I127" s="72"/>
      <c r="K127" s="72"/>
      <c r="L127" s="72"/>
    </row>
    <row r="128" spans="6:12" x14ac:dyDescent="0.35">
      <c r="F128" s="72"/>
      <c r="G128" s="72"/>
      <c r="H128" s="72"/>
      <c r="I128" s="72"/>
      <c r="K128" s="72"/>
      <c r="L128" s="72"/>
    </row>
    <row r="129" spans="6:12" x14ac:dyDescent="0.35">
      <c r="F129" s="72"/>
      <c r="G129" s="72"/>
      <c r="H129" s="72"/>
      <c r="I129" s="72"/>
      <c r="K129" s="72"/>
      <c r="L129" s="72"/>
    </row>
    <row r="130" spans="6:12" x14ac:dyDescent="0.35">
      <c r="F130" s="72"/>
      <c r="G130" s="72"/>
      <c r="H130" s="72"/>
      <c r="I130" s="72"/>
      <c r="K130" s="72"/>
      <c r="L130" s="72"/>
    </row>
    <row r="131" spans="6:12" x14ac:dyDescent="0.35">
      <c r="F131" s="72"/>
      <c r="G131" s="72"/>
      <c r="H131" s="72"/>
      <c r="I131" s="72"/>
      <c r="K131" s="72"/>
      <c r="L131" s="72"/>
    </row>
    <row r="132" spans="6:12" x14ac:dyDescent="0.35">
      <c r="F132" s="72"/>
      <c r="G132" s="72"/>
      <c r="H132" s="72"/>
      <c r="I132" s="72"/>
      <c r="K132" s="72"/>
      <c r="L132" s="72"/>
    </row>
    <row r="133" spans="6:12" ht="15" thickBot="1" x14ac:dyDescent="0.4">
      <c r="F133" s="73"/>
      <c r="G133" s="73"/>
      <c r="H133" s="73"/>
      <c r="I133" s="73"/>
      <c r="K133" s="73"/>
      <c r="L133" s="73"/>
    </row>
  </sheetData>
  <sortState xmlns:xlrd2="http://schemas.microsoft.com/office/spreadsheetml/2017/richdata2" ref="L61:L89">
    <sortCondition ref="L61"/>
  </sortState>
  <mergeCells count="1">
    <mergeCell ref="F4:H4"/>
  </mergeCells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776469-D9FD-4621-A09C-5FE6E49B668A}">
  <sheetPr codeName="Feuil6"/>
  <dimension ref="A1"/>
  <sheetViews>
    <sheetView workbookViewId="0">
      <selection activeCell="G13" sqref="G13"/>
    </sheetView>
  </sheetViews>
  <sheetFormatPr baseColWidth="10"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TextBox1">
          <controlPr defaultSize="0" autoLine="0" r:id="rId4">
            <anchor moveWithCells="1">
              <from>
                <xdr:col>2</xdr:col>
                <xdr:colOff>508000</xdr:colOff>
                <xdr:row>1</xdr:row>
                <xdr:rowOff>69850</xdr:rowOff>
              </from>
              <to>
                <xdr:col>10</xdr:col>
                <xdr:colOff>196850</xdr:colOff>
                <xdr:row>8</xdr:row>
                <xdr:rowOff>127000</xdr:rowOff>
              </to>
            </anchor>
          </controlPr>
        </control>
      </mc:Choice>
      <mc:Fallback>
        <control shapeId="6145" r:id="rId3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Reporting</vt:lpstr>
      <vt:lpstr>Data</vt:lpstr>
      <vt:lpstr>Analyses</vt:lpstr>
      <vt:lpstr>Pearson</vt:lpstr>
      <vt:lpstr>Kieh2</vt:lpstr>
      <vt:lpstr>Student</vt:lpstr>
      <vt:lpstr>Prévision LECCE</vt:lpstr>
      <vt:lpstr>Prévision BRESCIA</vt:lpstr>
      <vt:lpstr>Feuil1</vt:lpstr>
      <vt:lpstr>Regression linéaire</vt:lpstr>
      <vt:lpstr>A faire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Baptiste</dc:creator>
  <cp:lastModifiedBy>Baptiste Trespaillé-Barrau</cp:lastModifiedBy>
  <dcterms:created xsi:type="dcterms:W3CDTF">2015-06-05T18:19:34Z</dcterms:created>
  <dcterms:modified xsi:type="dcterms:W3CDTF">2024-07-30T14:38:19Z</dcterms:modified>
</cp:coreProperties>
</file>